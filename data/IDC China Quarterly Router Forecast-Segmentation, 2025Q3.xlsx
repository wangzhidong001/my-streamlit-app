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wang\Desktop\work\LAN Tracker\2025Q3\Delivery\Delivery Forecast\"/>
    </mc:Choice>
  </mc:AlternateContent>
  <xr:revisionPtr revIDLastSave="0" documentId="13_ncr:1_{4211D18A-EF20-4172-9947-35EF6AF55016}" xr6:coauthVersionLast="47" xr6:coauthVersionMax="47" xr10:uidLastSave="{00000000-0000-0000-0000-000000000000}"/>
  <bookViews>
    <workbookView xWindow="28680" yWindow="-120" windowWidth="38640" windowHeight="21120" activeTab="2"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<sst xmlns="http://schemas.openxmlformats.org/spreadsheetml/2006/main" count="55" uniqueCount="54">
  <si>
    <t>Year</t>
  </si>
  <si>
    <t>2022Q1</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</si>
  <si>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</si>
  <si>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</si>
  <si>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</si>
  <si>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</si>
  <si>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</si>
  <si>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</si>
  <si>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</si>
  <si>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</si>
  <si>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</si>
  <si>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</si>
  <si>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</si>
  <si>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</si>
  <si>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</si>
  <si>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</si>
  <si>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</si>
  <si>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</si>
  <si>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</si>
  <si>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</si>
  <si>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</si>
  <si>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</si>
  <si>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</si>
  <si>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</si>
  <si>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</si>
  <si>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</si>
  <si>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</si>
  <si>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</si>
  <si>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</si>
  <si>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</si>
  <si>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Enterprise</t>
  </si>
  <si>
    <t>Service Provider</t>
  </si>
  <si>
    <t>Enterprise Total</t>
  </si>
  <si>
    <t>Service Provider Total</t>
  </si>
  <si>
    <t>Publish Date</t>
  </si>
  <si>
    <t>行业大类</t>
  </si>
  <si>
    <t>公共事业</t>
  </si>
  <si>
    <t>金融</t>
  </si>
  <si>
    <t>政府</t>
  </si>
  <si>
    <t>交通</t>
  </si>
  <si>
    <t>教育</t>
  </si>
  <si>
    <t>制造</t>
  </si>
  <si>
    <t>服务</t>
  </si>
  <si>
    <t>互联网</t>
  </si>
  <si>
    <t>能源</t>
  </si>
  <si>
    <t>媒体</t>
  </si>
  <si>
    <t>流通</t>
  </si>
  <si>
    <t>医疗</t>
  </si>
  <si>
    <t>建筑</t>
  </si>
  <si>
    <t>通信</t>
  </si>
  <si>
    <t>Publication Date: Dec 23, 2025</t>
  </si>
  <si>
    <t>IDC China Quarterly Router Forecast-Segmentation, 2025Q3</t>
  </si>
  <si>
    <t>2025Q3 Final Forecast Data</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</si>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</sst>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16">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Forecast-Segmentation,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5302" y="95249"/>
          <a:ext cx="13702626"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Forecast-Segmentation,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7717" y="2219326"/>
          <a:ext cx="13723408"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630936</xdr:colOff>
      <xdr:row>12</xdr:row>
      <xdr:rowOff>121103</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Forecast-Segmentation,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009.594196527774" createdVersion="8" refreshedVersion="8" minRefreshableVersion="3" recordCount="100" xr:uid="{01112B15-E024-448A-B7AE-8340D1735768}">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行业大类" numFmtId="0">
      <sharedItems count="14">
        <s v="互联网"/>
        <s v="交通"/>
        <s v="公共事业"/>
        <s v="制造"/>
        <s v="医疗"/>
        <s v="媒体"/>
        <s v="建筑"/>
        <s v="政府"/>
        <s v="教育"/>
        <s v="服务"/>
        <s v="流通"/>
        <s v="能源"/>
        <s v="通信"/>
        <s v="金融"/>
      </sharedItems>
    </cacheField>
    <cacheField name="Vendor Revenue (CNY M)" numFmtId="0">
      <sharedItems containsSemiMixedTypes="0" containsString="0" containsNumber="1" minValue="13.601418390000001" maxValue="19652.823526240001"/>
    </cacheField>
    <cacheField name="Value (CNY M)" numFmtId="0">
      <sharedItems containsSemiMixedTypes="0" containsString="0" containsNumber="1" minValue="16.457716250000001" maxValue="19847.700063890003"/>
    </cacheField>
    <cacheField name="Vendor Revenue (USD M)" numFmtId="0">
      <sharedItems containsSemiMixedTypes="0" containsString="0" containsNumber="1" minValue="1.9206995599999999" maxValue="2779.2105170600003"/>
    </cacheField>
    <cacheField name="Value (USD M)" numFmtId="0">
      <sharedItems containsSemiMixedTypes="0" containsString="0" containsNumber="1" minValue="2.3240464900000002" maxValue="2806.8141508799995"/>
    </cacheField>
    <cacheField name="Publish Date" numFmtId="0">
      <sharedItems count="2">
        <s v="2025Q3"/>
        <s v="2025Q2"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Internet"/>
    <x v="0"/>
    <n v="233.17568713"/>
    <n v="282.14258143000001"/>
    <n v="33.005448770000001"/>
    <n v="39.936592999999988"/>
    <x v="0"/>
  </r>
  <r>
    <x v="0"/>
    <x v="1"/>
    <x v="0"/>
    <x v="0"/>
    <s v="Internet"/>
    <x v="0"/>
    <n v="190.27099867999999"/>
    <n v="230.22790839000004"/>
    <n v="26.468695959999998"/>
    <n v="32.027122130000002"/>
    <x v="0"/>
  </r>
  <r>
    <x v="0"/>
    <x v="0"/>
    <x v="0"/>
    <x v="0"/>
    <s v="Transportation"/>
    <x v="1"/>
    <n v="302.04931078999999"/>
    <n v="365.47966604999993"/>
    <n v="42.51183480000001"/>
    <n v="51.439320039999998"/>
    <x v="0"/>
  </r>
  <r>
    <x v="0"/>
    <x v="1"/>
    <x v="0"/>
    <x v="0"/>
    <s v="Transportation"/>
    <x v="1"/>
    <n v="357.42813422"/>
    <n v="432.4880423899998"/>
    <n v="49.656741300000022"/>
    <n v="60.084657040000018"/>
    <x v="0"/>
  </r>
  <r>
    <x v="0"/>
    <x v="0"/>
    <x v="0"/>
    <x v="0"/>
    <s v="Utilities"/>
    <x v="2"/>
    <n v="1080.5714053600004"/>
    <n v="1307.4914005199998"/>
    <n v="151.74637302000005"/>
    <n v="183.61311136"/>
    <x v="0"/>
  </r>
  <r>
    <x v="0"/>
    <x v="1"/>
    <x v="0"/>
    <x v="0"/>
    <s v="Utilities"/>
    <x v="2"/>
    <n v="1199.33569786"/>
    <n v="1451.19619448"/>
    <n v="166.77885859"/>
    <n v="201.80241888"/>
    <x v="0"/>
  </r>
  <r>
    <x v="0"/>
    <x v="0"/>
    <x v="0"/>
    <x v="0"/>
    <s v="Manufacturing"/>
    <x v="3"/>
    <n v="283.81268105999993"/>
    <n v="343.41334412999993"/>
    <n v="39.932530029999981"/>
    <n v="48.318361280000005"/>
    <x v="0"/>
  </r>
  <r>
    <x v="0"/>
    <x v="1"/>
    <x v="0"/>
    <x v="0"/>
    <s v="Manufacturing"/>
    <x v="3"/>
    <n v="252.47833503999999"/>
    <n v="305.49878538999997"/>
    <n v="35.130138370000004"/>
    <n v="42.507467460000001"/>
    <x v="0"/>
  </r>
  <r>
    <x v="0"/>
    <x v="0"/>
    <x v="0"/>
    <x v="0"/>
    <s v="Health"/>
    <x v="4"/>
    <n v="62.056501449999992"/>
    <n v="75.08836672999999"/>
    <n v="8.7795150199999981"/>
    <n v="10.623213099999997"/>
    <x v="0"/>
  </r>
  <r>
    <x v="0"/>
    <x v="1"/>
    <x v="0"/>
    <x v="0"/>
    <s v="Health"/>
    <x v="4"/>
    <n v="61.834109559999987"/>
    <n v="74.819272589999983"/>
    <n v="8.5997847000000007"/>
    <n v="10.405739499999997"/>
    <x v="0"/>
  </r>
  <r>
    <x v="0"/>
    <x v="0"/>
    <x v="0"/>
    <x v="0"/>
    <s v="Media"/>
    <x v="5"/>
    <n v="159.15649052000003"/>
    <n v="192.57935355000001"/>
    <n v="22.470818110000007"/>
    <n v="27.189689939999997"/>
    <x v="0"/>
  </r>
  <r>
    <x v="0"/>
    <x v="1"/>
    <x v="0"/>
    <x v="0"/>
    <s v="Media"/>
    <x v="5"/>
    <n v="119.30274497000001"/>
    <n v="144.35632141000002"/>
    <n v="16.592147540000003"/>
    <n v="20.076498529999995"/>
    <x v="0"/>
  </r>
  <r>
    <x v="0"/>
    <x v="0"/>
    <x v="0"/>
    <x v="0"/>
    <s v="Construction"/>
    <x v="6"/>
    <n v="13.601418390000001"/>
    <n v="16.457716250000001"/>
    <n v="1.9206995599999999"/>
    <n v="2.3240464900000002"/>
    <x v="0"/>
  </r>
  <r>
    <x v="0"/>
    <x v="1"/>
    <x v="0"/>
    <x v="0"/>
    <s v="Construction"/>
    <x v="6"/>
    <n v="16.879783719999999"/>
    <n v="20.42453832"/>
    <n v="2.3455787799999999"/>
    <n v="2.83815032"/>
    <x v="0"/>
  </r>
  <r>
    <x v="0"/>
    <x v="0"/>
    <x v="0"/>
    <x v="0"/>
    <s v="Government"/>
    <x v="7"/>
    <n v="976.94512176000023"/>
    <n v="1182.1035972700001"/>
    <n v="137.95580300000006"/>
    <n v="166.92652168000004"/>
    <x v="0"/>
  </r>
  <r>
    <x v="0"/>
    <x v="1"/>
    <x v="0"/>
    <x v="0"/>
    <s v="Government"/>
    <x v="7"/>
    <n v="919.00808553000002"/>
    <n v="1111.9997834200008"/>
    <n v="127.73833851999999"/>
    <n v="154.56338950999992"/>
    <x v="0"/>
  </r>
  <r>
    <x v="0"/>
    <x v="0"/>
    <x v="0"/>
    <x v="0"/>
    <s v="Education"/>
    <x v="8"/>
    <n v="294.28173990999983"/>
    <n v="356.08090531999983"/>
    <n v="41.694677719999987"/>
    <n v="50.450560119999984"/>
    <x v="0"/>
  </r>
  <r>
    <x v="0"/>
    <x v="1"/>
    <x v="0"/>
    <x v="0"/>
    <s v="Education"/>
    <x v="8"/>
    <n v="269.6251219200002"/>
    <n v="326.24639759000007"/>
    <n v="37.450883850000004"/>
    <n v="45.315569530000005"/>
    <x v="0"/>
  </r>
  <r>
    <x v="0"/>
    <x v="0"/>
    <x v="0"/>
    <x v="0"/>
    <s v="Services"/>
    <x v="9"/>
    <n v="192.30558524000014"/>
    <n v="232.68975817000006"/>
    <n v="27.196200480000009"/>
    <n v="32.907402570000002"/>
    <x v="0"/>
  </r>
  <r>
    <x v="0"/>
    <x v="1"/>
    <x v="0"/>
    <x v="0"/>
    <s v="Services"/>
    <x v="9"/>
    <n v="189.81175677000004"/>
    <n v="229.67222570000004"/>
    <n v="26.399164919999993"/>
    <n v="31.942989539999996"/>
    <x v="0"/>
  </r>
  <r>
    <x v="0"/>
    <x v="0"/>
    <x v="0"/>
    <x v="0"/>
    <s v="Distribution"/>
    <x v="10"/>
    <n v="82.463793749999979"/>
    <n v="99.781190459999976"/>
    <n v="11.639794189999998"/>
    <n v="14.084151020000002"/>
    <x v="0"/>
  </r>
  <r>
    <x v="0"/>
    <x v="1"/>
    <x v="0"/>
    <x v="0"/>
    <s v="Distribution"/>
    <x v="10"/>
    <n v="67.876809860000009"/>
    <n v="82.130939950000013"/>
    <n v="9.447168330000002"/>
    <n v="11.431073640000001"/>
    <x v="0"/>
  </r>
  <r>
    <x v="0"/>
    <x v="0"/>
    <x v="0"/>
    <x v="0"/>
    <s v="Resource Industries"/>
    <x v="11"/>
    <n v="208.59940323999999"/>
    <n v="252.40527796000003"/>
    <n v="29.505810920000005"/>
    <n v="35.702031220000002"/>
    <x v="0"/>
  </r>
  <r>
    <x v="0"/>
    <x v="1"/>
    <x v="0"/>
    <x v="0"/>
    <s v="Resource Industries"/>
    <x v="11"/>
    <n v="175.89402822000002"/>
    <n v="212.83177416000004"/>
    <n v="24.453274209999993"/>
    <n v="29.588461880000001"/>
    <x v="0"/>
  </r>
  <r>
    <x v="0"/>
    <x v="0"/>
    <x v="0"/>
    <x v="1"/>
    <s v="Telecom"/>
    <x v="12"/>
    <n v="45.353642699999995"/>
    <n v="54.87790764999999"/>
    <n v="6.3887890499999997"/>
    <n v="7.7304347499999997"/>
    <x v="0"/>
  </r>
  <r>
    <x v="0"/>
    <x v="0"/>
    <x v="0"/>
    <x v="1"/>
    <s v="Telecom"/>
    <x v="12"/>
    <n v="19652.823526240001"/>
    <n v="19847.700063890003"/>
    <n v="2779.2105170600003"/>
    <n v="2806.8141508799995"/>
    <x v="0"/>
  </r>
  <r>
    <x v="0"/>
    <x v="1"/>
    <x v="0"/>
    <x v="1"/>
    <s v="Telecom"/>
    <x v="12"/>
    <n v="34.937379120000003"/>
    <n v="42.274228739999991"/>
    <n v="4.8526871699999985"/>
    <n v="5.8717514799999986"/>
    <x v="0"/>
  </r>
  <r>
    <x v="0"/>
    <x v="1"/>
    <x v="0"/>
    <x v="1"/>
    <s v="Telecom"/>
    <x v="12"/>
    <n v="15526.927051979999"/>
    <n v="15714.105198459998"/>
    <n v="2159.6153035500006"/>
    <n v="2185.6444262099999"/>
    <x v="0"/>
  </r>
  <r>
    <x v="0"/>
    <x v="0"/>
    <x v="0"/>
    <x v="0"/>
    <s v="Finance"/>
    <x v="13"/>
    <n v="1141.5111547499998"/>
    <n v="1381.2284972299994"/>
    <n v="160.79748301000006"/>
    <n v="194.56495434999999"/>
    <x v="0"/>
  </r>
  <r>
    <x v="0"/>
    <x v="1"/>
    <x v="0"/>
    <x v="0"/>
    <s v="Finance"/>
    <x v="13"/>
    <n v="1003.1677778299999"/>
    <n v="1213.8330112000003"/>
    <n v="139.50521191000007"/>
    <n v="168.80130637000002"/>
    <x v="0"/>
  </r>
  <r>
    <x v="0"/>
    <x v="2"/>
    <x v="0"/>
    <x v="0"/>
    <s v="Internet"/>
    <x v="0"/>
    <n v="258.66258567"/>
    <n v="292.61506749"/>
    <n v="35.900038469999998"/>
    <n v="40.614785789999999"/>
    <x v="0"/>
  </r>
  <r>
    <x v="0"/>
    <x v="3"/>
    <x v="0"/>
    <x v="0"/>
    <s v="Internet"/>
    <x v="0"/>
    <n v="251.52171799000001"/>
    <n v="304.34127876000002"/>
    <n v="35.143210959999998"/>
    <n v="42.523285260000002"/>
    <x v="0"/>
  </r>
  <r>
    <x v="0"/>
    <x v="4"/>
    <x v="0"/>
    <x v="0"/>
    <s v="Internet"/>
    <x v="0"/>
    <n v="240.41265419000001"/>
    <n v="290.89931157000001"/>
    <n v="33.591026220000003"/>
    <n v="40.645141719999998"/>
    <x v="0"/>
  </r>
  <r>
    <x v="0"/>
    <x v="5"/>
    <x v="0"/>
    <x v="0"/>
    <s v="Internet"/>
    <x v="0"/>
    <n v="260.57684293"/>
    <n v="315.29797994"/>
    <n v="36.408414489999998"/>
    <n v="44.054181530000001"/>
    <x v="0"/>
  </r>
  <r>
    <x v="0"/>
    <x v="6"/>
    <x v="0"/>
    <x v="0"/>
    <s v="Internet"/>
    <x v="0"/>
    <n v="268.30330686000002"/>
    <n v="324.6470013"/>
    <n v="37.487974360000003"/>
    <n v="45.36044897"/>
    <x v="0"/>
  </r>
  <r>
    <x v="0"/>
    <x v="2"/>
    <x v="0"/>
    <x v="0"/>
    <s v="Transportation"/>
    <x v="1"/>
    <n v="399.52620952000001"/>
    <n v="442.11797629"/>
    <n v="55.510075469999997"/>
    <n v="61.430072129999999"/>
    <x v="0"/>
  </r>
  <r>
    <x v="0"/>
    <x v="3"/>
    <x v="0"/>
    <x v="0"/>
    <s v="Transportation"/>
    <x v="1"/>
    <n v="461.89009900000002"/>
    <n v="558.88701978999995"/>
    <n v="64.536380070000007"/>
    <n v="78.089019890000003"/>
    <x v="0"/>
  </r>
  <r>
    <x v="0"/>
    <x v="4"/>
    <x v="0"/>
    <x v="0"/>
    <s v="Transportation"/>
    <x v="1"/>
    <n v="510.11080264999998"/>
    <n v="617.23407121000002"/>
    <n v="71.273891149999997"/>
    <n v="86.241408289999995"/>
    <x v="0"/>
  </r>
  <r>
    <x v="0"/>
    <x v="5"/>
    <x v="0"/>
    <x v="0"/>
    <s v="Transportation"/>
    <x v="1"/>
    <n v="498.54442461999997"/>
    <n v="603.23875379000003"/>
    <n v="69.657809380000003"/>
    <n v="84.285949349999996"/>
    <x v="0"/>
  </r>
  <r>
    <x v="0"/>
    <x v="6"/>
    <x v="0"/>
    <x v="0"/>
    <s v="Transportation"/>
    <x v="1"/>
    <n v="471.34247892000002"/>
    <n v="570.32439950000003"/>
    <n v="65.857089009999996"/>
    <n v="79.687077709999997"/>
    <x v="0"/>
  </r>
  <r>
    <x v="0"/>
    <x v="2"/>
    <x v="0"/>
    <x v="0"/>
    <s v="Utilities"/>
    <x v="2"/>
    <n v="1256.42998844"/>
    <n v="1369.5055348799999"/>
    <n v="174.57284164000001"/>
    <n v="190.27895312000001"/>
    <x v="0"/>
  </r>
  <r>
    <x v="0"/>
    <x v="3"/>
    <x v="0"/>
    <x v="0"/>
    <s v="Utilities"/>
    <x v="2"/>
    <n v="1426.00513875"/>
    <n v="1725.4662178900001"/>
    <n v="199.24481997000001"/>
    <n v="241.08623216000001"/>
    <x v="0"/>
  </r>
  <r>
    <x v="0"/>
    <x v="4"/>
    <x v="0"/>
    <x v="0"/>
    <s v="Utilities"/>
    <x v="2"/>
    <n v="1594.1455207500001"/>
    <n v="1928.9160801099999"/>
    <n v="222.73779291"/>
    <n v="269.51272942000003"/>
    <x v="0"/>
  </r>
  <r>
    <x v="0"/>
    <x v="5"/>
    <x v="0"/>
    <x v="0"/>
    <s v="Utilities"/>
    <x v="2"/>
    <n v="1725.9842381200001"/>
    <n v="2088.4409281200001"/>
    <n v="241.15861118000001"/>
    <n v="291.80191952000001"/>
    <x v="0"/>
  </r>
  <r>
    <x v="0"/>
    <x v="6"/>
    <x v="0"/>
    <x v="0"/>
    <s v="Utilities"/>
    <x v="2"/>
    <n v="1882.4548510300001"/>
    <n v="2277.7703697400002"/>
    <n v="263.0210563"/>
    <n v="318.25547812999997"/>
    <x v="0"/>
  </r>
  <r>
    <x v="0"/>
    <x v="2"/>
    <x v="0"/>
    <x v="0"/>
    <s v="Manufacturing"/>
    <x v="3"/>
    <n v="280.41908590999998"/>
    <n v="318.19577027999998"/>
    <n v="38.930237720000001"/>
    <n v="44.175254729999999"/>
    <x v="0"/>
  </r>
  <r>
    <x v="0"/>
    <x v="3"/>
    <x v="0"/>
    <x v="0"/>
    <s v="Manufacturing"/>
    <x v="3"/>
    <n v="273.64082989000002"/>
    <n v="331.10540415999998"/>
    <n v="38.233745730000003"/>
    <n v="46.262832340000003"/>
    <x v="0"/>
  </r>
  <r>
    <x v="0"/>
    <x v="4"/>
    <x v="0"/>
    <x v="0"/>
    <s v="Manufacturing"/>
    <x v="3"/>
    <n v="281.17320014000001"/>
    <n v="340.21957216999999"/>
    <n v="39.286186370000003"/>
    <n v="47.536285499999998"/>
    <x v="0"/>
  </r>
  <r>
    <x v="0"/>
    <x v="5"/>
    <x v="0"/>
    <x v="0"/>
    <s v="Manufacturing"/>
    <x v="3"/>
    <n v="293.0396131"/>
    <n v="354.57793185000003"/>
    <n v="40.944189729999998"/>
    <n v="49.542469570000002"/>
    <x v="0"/>
  </r>
  <r>
    <x v="0"/>
    <x v="6"/>
    <x v="0"/>
    <x v="0"/>
    <s v="Manufacturing"/>
    <x v="3"/>
    <n v="297.33074886999998"/>
    <n v="359.77020613000002"/>
    <n v="41.543757399999997"/>
    <n v="50.267946449999997"/>
    <x v="0"/>
  </r>
  <r>
    <x v="0"/>
    <x v="2"/>
    <x v="0"/>
    <x v="0"/>
    <s v="Health"/>
    <x v="4"/>
    <n v="67.34691187"/>
    <n v="76.576747650000001"/>
    <n v="9.35160473"/>
    <n v="10.632948710000001"/>
    <x v="0"/>
  </r>
  <r>
    <x v="0"/>
    <x v="3"/>
    <x v="0"/>
    <x v="0"/>
    <s v="Health"/>
    <x v="4"/>
    <n v="65.008429149999998"/>
    <n v="78.660199270000007"/>
    <n v="9.0831318999999997"/>
    <n v="10.9905896"/>
    <x v="0"/>
  </r>
  <r>
    <x v="0"/>
    <x v="4"/>
    <x v="0"/>
    <x v="0"/>
    <s v="Health"/>
    <x v="4"/>
    <n v="69.643041150000002"/>
    <n v="84.268079799999995"/>
    <n v="9.7306908799999992"/>
    <n v="11.774135960000001"/>
    <x v="0"/>
  </r>
  <r>
    <x v="0"/>
    <x v="5"/>
    <x v="0"/>
    <x v="0"/>
    <s v="Health"/>
    <x v="4"/>
    <n v="71.782226089999995"/>
    <n v="86.856493569999998"/>
    <n v="10.02958287"/>
    <n v="12.13579528"/>
    <x v="0"/>
  </r>
  <r>
    <x v="0"/>
    <x v="6"/>
    <x v="0"/>
    <x v="0"/>
    <s v="Health"/>
    <x v="4"/>
    <n v="73.729715569999996"/>
    <n v="89.212955840000006"/>
    <n v="10.30169072"/>
    <n v="12.46504577"/>
    <x v="0"/>
  </r>
  <r>
    <x v="0"/>
    <x v="2"/>
    <x v="0"/>
    <x v="0"/>
    <s v="Media"/>
    <x v="5"/>
    <n v="116.44246656"/>
    <n v="129.25614852000001"/>
    <n v="16.181271240000001"/>
    <n v="17.960189360000001"/>
    <x v="0"/>
  </r>
  <r>
    <x v="0"/>
    <x v="3"/>
    <x v="0"/>
    <x v="0"/>
    <s v="Media"/>
    <x v="5"/>
    <n v="121.59673182"/>
    <n v="147.13204551000001"/>
    <n v="16.989783760000002"/>
    <n v="20.55763834"/>
    <x v="0"/>
  </r>
  <r>
    <x v="0"/>
    <x v="4"/>
    <x v="0"/>
    <x v="0"/>
    <s v="Media"/>
    <x v="5"/>
    <n v="127.80221874"/>
    <n v="154.64068467999999"/>
    <n v="17.856829099999999"/>
    <n v="21.606763220000001"/>
    <x v="0"/>
  </r>
  <r>
    <x v="0"/>
    <x v="5"/>
    <x v="0"/>
    <x v="0"/>
    <s v="Media"/>
    <x v="5"/>
    <n v="124.51854394"/>
    <n v="150.66743817"/>
    <n v="17.398026269999999"/>
    <n v="21.051611789999999"/>
    <x v="0"/>
  </r>
  <r>
    <x v="0"/>
    <x v="6"/>
    <x v="0"/>
    <x v="0"/>
    <s v="Media"/>
    <x v="5"/>
    <n v="129.41297033000001"/>
    <n v="156.5896941"/>
    <n v="18.081887139999999"/>
    <n v="21.879083430000001"/>
    <x v="0"/>
  </r>
  <r>
    <x v="0"/>
    <x v="2"/>
    <x v="0"/>
    <x v="0"/>
    <s v="Construction"/>
    <x v="6"/>
    <n v="18.665904730000001"/>
    <n v="20.570385089999998"/>
    <n v="2.58628065"/>
    <n v="2.8505787200000001"/>
    <x v="0"/>
  </r>
  <r>
    <x v="0"/>
    <x v="3"/>
    <x v="0"/>
    <x v="0"/>
    <s v="Construction"/>
    <x v="6"/>
    <n v="17.812400060000002"/>
    <n v="21.55300407"/>
    <n v="2.48879078"/>
    <n v="3.0114368499999999"/>
    <x v="0"/>
  </r>
  <r>
    <x v="0"/>
    <x v="4"/>
    <x v="0"/>
    <x v="0"/>
    <s v="Construction"/>
    <x v="6"/>
    <n v="17.121991690000002"/>
    <n v="20.717609939999999"/>
    <n v="2.39232529"/>
    <n v="2.8947136000000002"/>
    <x v="0"/>
  </r>
  <r>
    <x v="0"/>
    <x v="5"/>
    <x v="0"/>
    <x v="0"/>
    <s v="Construction"/>
    <x v="6"/>
    <n v="18.425079369999999"/>
    <n v="22.29434603"/>
    <n v="2.5743957900000001"/>
    <n v="3.1150188999999999"/>
    <x v="0"/>
  </r>
  <r>
    <x v="0"/>
    <x v="6"/>
    <x v="0"/>
    <x v="0"/>
    <s v="Construction"/>
    <x v="6"/>
    <n v="15.99414754"/>
    <n v="19.352918519999999"/>
    <n v="2.2347402299999999"/>
    <n v="2.7040356700000001"/>
    <x v="0"/>
  </r>
  <r>
    <x v="0"/>
    <x v="2"/>
    <x v="0"/>
    <x v="0"/>
    <s v="Government"/>
    <x v="7"/>
    <n v="715.40601031000006"/>
    <n v="790.76941341999998"/>
    <n v="99.375660620000005"/>
    <n v="109.85087011"/>
    <x v="0"/>
  </r>
  <r>
    <x v="0"/>
    <x v="3"/>
    <x v="0"/>
    <x v="0"/>
    <s v="Government"/>
    <x v="7"/>
    <n v="736.90485199"/>
    <n v="891.65487091"/>
    <n v="102.9620936"/>
    <n v="124.58413324999999"/>
    <x v="0"/>
  </r>
  <r>
    <x v="0"/>
    <x v="4"/>
    <x v="0"/>
    <x v="0"/>
    <s v="Government"/>
    <x v="7"/>
    <n v="777.24076392999996"/>
    <n v="940.46132436000005"/>
    <n v="108.59792288"/>
    <n v="131.40348667999999"/>
    <x v="0"/>
  </r>
  <r>
    <x v="0"/>
    <x v="5"/>
    <x v="0"/>
    <x v="0"/>
    <s v="Government"/>
    <x v="7"/>
    <n v="796.93202402999998"/>
    <n v="964.28774907000002"/>
    <n v="111.34923243999999"/>
    <n v="134.73257125000001"/>
    <x v="0"/>
  </r>
  <r>
    <x v="0"/>
    <x v="6"/>
    <x v="0"/>
    <x v="0"/>
    <s v="Government"/>
    <x v="7"/>
    <n v="814.92677053"/>
    <n v="986.06139234"/>
    <n v="113.86350109999999"/>
    <n v="137.77483633"/>
    <x v="0"/>
  </r>
  <r>
    <x v="0"/>
    <x v="2"/>
    <x v="0"/>
    <x v="0"/>
    <s v="Education"/>
    <x v="8"/>
    <n v="296.09245348000002"/>
    <n v="334.24860336"/>
    <n v="41.128642630000002"/>
    <n v="46.425261730000003"/>
    <x v="0"/>
  </r>
  <r>
    <x v="0"/>
    <x v="3"/>
    <x v="0"/>
    <x v="0"/>
    <s v="Education"/>
    <x v="8"/>
    <n v="303.54816177999999"/>
    <n v="367.29327575000002"/>
    <n v="42.41246907"/>
    <n v="51.319087580000001"/>
    <x v="0"/>
  </r>
  <r>
    <x v="0"/>
    <x v="4"/>
    <x v="0"/>
    <x v="0"/>
    <s v="Education"/>
    <x v="8"/>
    <n v="315.51320568"/>
    <n v="381.77097887000002"/>
    <n v="44.08425338"/>
    <n v="53.341946589999999"/>
    <x v="0"/>
  </r>
  <r>
    <x v="0"/>
    <x v="5"/>
    <x v="0"/>
    <x v="0"/>
    <s v="Education"/>
    <x v="8"/>
    <n v="334.23125003000001"/>
    <n v="404.41981254000001"/>
    <n v="46.699582929999998"/>
    <n v="56.506495350000002"/>
    <x v="0"/>
  </r>
  <r>
    <x v="0"/>
    <x v="6"/>
    <x v="0"/>
    <x v="0"/>
    <s v="Education"/>
    <x v="8"/>
    <n v="359.04317555"/>
    <n v="434.44224241000001"/>
    <n v="50.166364010000002"/>
    <n v="60.701300449999998"/>
    <x v="0"/>
  </r>
  <r>
    <x v="0"/>
    <x v="2"/>
    <x v="0"/>
    <x v="0"/>
    <s v="Services"/>
    <x v="9"/>
    <n v="194.33089534999999"/>
    <n v="220.75124758999999"/>
    <n v="26.97785562"/>
    <n v="30.646832929999999"/>
    <x v="0"/>
  </r>
  <r>
    <x v="0"/>
    <x v="3"/>
    <x v="0"/>
    <x v="0"/>
    <s v="Services"/>
    <x v="9"/>
    <n v="187.76191104"/>
    <n v="227.19191236"/>
    <n v="26.234539519999998"/>
    <n v="31.743792809999999"/>
    <x v="0"/>
  </r>
  <r>
    <x v="0"/>
    <x v="4"/>
    <x v="0"/>
    <x v="0"/>
    <s v="Services"/>
    <x v="9"/>
    <n v="193.44164398000001"/>
    <n v="234.06438921"/>
    <n v="27.02812527"/>
    <n v="32.704031579999999"/>
    <x v="0"/>
  </r>
  <r>
    <x v="0"/>
    <x v="5"/>
    <x v="0"/>
    <x v="0"/>
    <s v="Services"/>
    <x v="9"/>
    <n v="201.22190151000001"/>
    <n v="243.47850083"/>
    <n v="28.11520131"/>
    <n v="34.019393579999999"/>
    <x v="0"/>
  </r>
  <r>
    <x v="0"/>
    <x v="6"/>
    <x v="0"/>
    <x v="0"/>
    <s v="Services"/>
    <x v="9"/>
    <n v="210.07855228"/>
    <n v="254.19504825000001"/>
    <n v="29.352673559999999"/>
    <n v="35.516734999999997"/>
    <x v="0"/>
  </r>
  <r>
    <x v="0"/>
    <x v="2"/>
    <x v="0"/>
    <x v="0"/>
    <s v="Distribution"/>
    <x v="10"/>
    <n v="55.168944779999997"/>
    <n v="62.30195003"/>
    <n v="7.6609869799999997"/>
    <n v="8.6511858700000008"/>
    <x v="0"/>
  </r>
  <r>
    <x v="0"/>
    <x v="3"/>
    <x v="0"/>
    <x v="0"/>
    <s v="Distribution"/>
    <x v="10"/>
    <n v="53.122426320000002"/>
    <n v="64.278135849999998"/>
    <n v="7.4223913899999996"/>
    <n v="8.9810935900000004"/>
    <x v="0"/>
  </r>
  <r>
    <x v="0"/>
    <x v="4"/>
    <x v="0"/>
    <x v="0"/>
    <s v="Distribution"/>
    <x v="10"/>
    <n v="56.026811199999997"/>
    <n v="67.792441550000007"/>
    <n v="7.8281989400000001"/>
    <n v="9.4721207100000004"/>
    <x v="0"/>
  </r>
  <r>
    <x v="0"/>
    <x v="5"/>
    <x v="0"/>
    <x v="0"/>
    <s v="Distribution"/>
    <x v="10"/>
    <n v="53.911395480000003"/>
    <n v="65.232788540000001"/>
    <n v="7.5326280399999996"/>
    <n v="9.1144799200000008"/>
    <x v="0"/>
  </r>
  <r>
    <x v="0"/>
    <x v="6"/>
    <x v="0"/>
    <x v="0"/>
    <s v="Distribution"/>
    <x v="10"/>
    <n v="50.135245179999998"/>
    <n v="60.663646659999998"/>
    <n v="7.0050153599999998"/>
    <n v="8.4760685799999997"/>
    <x v="0"/>
  </r>
  <r>
    <x v="0"/>
    <x v="2"/>
    <x v="0"/>
    <x v="0"/>
    <s v="Resource Industries"/>
    <x v="11"/>
    <n v="188.64960001"/>
    <n v="207.91091535999999"/>
    <n v="26.203854230000001"/>
    <n v="28.879635199999999"/>
    <x v="0"/>
  </r>
  <r>
    <x v="0"/>
    <x v="3"/>
    <x v="0"/>
    <x v="0"/>
    <s v="Resource Industries"/>
    <x v="11"/>
    <n v="196.5276906"/>
    <n v="237.79850562999999"/>
    <n v="27.459315029999999"/>
    <n v="33.225771180000002"/>
    <x v="0"/>
  </r>
  <r>
    <x v="0"/>
    <x v="4"/>
    <x v="0"/>
    <x v="0"/>
    <s v="Resource Industries"/>
    <x v="11"/>
    <n v="179.76237857000001"/>
    <n v="217.51247806999999"/>
    <n v="25.11682587"/>
    <n v="30.391359300000001"/>
    <x v="0"/>
  </r>
  <r>
    <x v="0"/>
    <x v="5"/>
    <x v="0"/>
    <x v="0"/>
    <s v="Resource Industries"/>
    <x v="11"/>
    <n v="189.67906245"/>
    <n v="229.51166556000001"/>
    <n v="26.502408460000002"/>
    <n v="32.06791423"/>
    <x v="0"/>
  </r>
  <r>
    <x v="0"/>
    <x v="6"/>
    <x v="0"/>
    <x v="0"/>
    <s v="Resource Industries"/>
    <x v="11"/>
    <n v="180.10567890999999"/>
    <n v="217.92787147999999"/>
    <n v="25.164792599999998"/>
    <n v="30.44939905"/>
    <x v="0"/>
  </r>
  <r>
    <x v="0"/>
    <x v="2"/>
    <x v="0"/>
    <x v="1"/>
    <s v="Telecom"/>
    <x v="12"/>
    <n v="16188.193805159999"/>
    <n v="16849.057557839998"/>
    <n v="2247.0980691999998"/>
    <n v="2338.8892960899998"/>
    <x v="0"/>
  </r>
  <r>
    <x v="0"/>
    <x v="3"/>
    <x v="0"/>
    <x v="1"/>
    <s v="Telecom"/>
    <x v="12"/>
    <n v="16019.255133369999"/>
    <n v="16184.772287330001"/>
    <n v="2238.2483192599998"/>
    <n v="2261.3747685600001"/>
    <x v="0"/>
  </r>
  <r>
    <x v="0"/>
    <x v="4"/>
    <x v="0"/>
    <x v="1"/>
    <s v="Telecom"/>
    <x v="12"/>
    <n v="16360.17757534"/>
    <n v="16526.375520050002"/>
    <n v="2285.8828113999998"/>
    <n v="2309.1043823999998"/>
    <x v="0"/>
  </r>
  <r>
    <x v="0"/>
    <x v="5"/>
    <x v="0"/>
    <x v="1"/>
    <s v="Telecom"/>
    <x v="12"/>
    <n v="16852.090466879999"/>
    <n v="17024.717766260001"/>
    <n v="2354.6140472500001"/>
    <n v="2378.73394293"/>
    <x v="0"/>
  </r>
  <r>
    <x v="0"/>
    <x v="6"/>
    <x v="0"/>
    <x v="1"/>
    <s v="Telecom"/>
    <x v="12"/>
    <n v="17451.39084724"/>
    <n v="17628.101651829998"/>
    <n v="2438.3497177200002"/>
    <n v="2463.0401704400001"/>
    <x v="0"/>
  </r>
  <r>
    <x v="0"/>
    <x v="2"/>
    <x v="0"/>
    <x v="0"/>
    <s v="Finance"/>
    <x v="13"/>
    <n v="1056.98117032"/>
    <n v="1182.9669807400001"/>
    <n v="147.00895091999999"/>
    <n v="164.5226103"/>
    <x v="0"/>
  </r>
  <r>
    <x v="0"/>
    <x v="3"/>
    <x v="0"/>
    <x v="0"/>
    <s v="Finance"/>
    <x v="13"/>
    <n v="1106.9921593700001"/>
    <n v="1339.4605128400001"/>
    <n v="154.67156990000001"/>
    <n v="187.15259957999999"/>
    <x v="0"/>
  </r>
  <r>
    <x v="0"/>
    <x v="4"/>
    <x v="0"/>
    <x v="0"/>
    <s v="Finance"/>
    <x v="13"/>
    <n v="1148.5710256"/>
    <n v="1389.77094098"/>
    <n v="160.48106770000001"/>
    <n v="194.18209192"/>
    <x v="0"/>
  </r>
  <r>
    <x v="0"/>
    <x v="5"/>
    <x v="0"/>
    <x v="0"/>
    <s v="Finance"/>
    <x v="13"/>
    <n v="1227.6789759999999"/>
    <n v="1485.49156096"/>
    <n v="171.53421814999999"/>
    <n v="207.55640396000001"/>
    <x v="0"/>
  </r>
  <r>
    <x v="0"/>
    <x v="6"/>
    <x v="0"/>
    <x v="0"/>
    <s v="Finance"/>
    <x v="13"/>
    <n v="1318.04186211"/>
    <n v="1594.83065315"/>
    <n v="184.1599349"/>
    <n v="222.833521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CF6B4-6E33-4B7B-8FEC-B64ED0409A6F}" name="PivotTable1" cacheId="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40"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items count="3">
        <item x="0"/>
        <item x="1"/>
        <item t="default"/>
      </items>
    </pivotField>
    <pivotField compact="0" outline="0" subtotalTop="0" showAll="0" defaultSubtotal="0"/>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1" count="1" selected="0">
              <x v="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m="1" x="1"/>
        <item x="0"/>
      </items>
    </pivotField>
  </pivotFields>
  <rowFields count="2">
    <field x="3"/>
    <field x="5"/>
  </rowFields>
  <rowItems count="17">
    <i>
      <x/>
      <x v="2"/>
    </i>
    <i r="1">
      <x v="13"/>
    </i>
    <i r="1">
      <x v="7"/>
    </i>
    <i r="1">
      <x v="1"/>
    </i>
    <i r="1">
      <x v="8"/>
    </i>
    <i r="1">
      <x v="3"/>
    </i>
    <i r="1">
      <x/>
    </i>
    <i r="1">
      <x v="9"/>
    </i>
    <i r="1">
      <x v="11"/>
    </i>
    <i r="1">
      <x v="5"/>
    </i>
    <i r="1">
      <x v="4"/>
    </i>
    <i r="1">
      <x v="10"/>
    </i>
    <i r="1">
      <x v="6"/>
    </i>
    <i t="default">
      <x/>
    </i>
    <i>
      <x v="1"/>
      <x v="12"/>
    </i>
    <i t="default">
      <x v="1"/>
    </i>
    <i t="grand">
      <x/>
    </i>
  </rowItems>
  <colFields count="1">
    <field x="1"/>
  </colFields>
  <colItems count="7">
    <i>
      <x/>
    </i>
    <i>
      <x v="1"/>
    </i>
    <i>
      <x v="2"/>
    </i>
    <i>
      <x v="3"/>
    </i>
    <i>
      <x v="4"/>
    </i>
    <i>
      <x v="5"/>
    </i>
    <i>
      <x v="6"/>
    </i>
  </colItems>
  <pageFields count="3">
    <pageField fld="0" item="0" hier="-1"/>
    <pageField fld="2" item="0" hier="-1"/>
    <pageField fld="10" item="1" hier="-1"/>
  </pageFields>
  <dataFields count="1">
    <dataField name="Sum of Vendor Revenue (CNY M)" fld="6"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90" zoomScaleNormal="90" workbookViewId="0">
      <selection activeCell="X27" sqref="X27"/>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11</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9</v>
      </c>
      <c r="H43" s="13" t="s">
        <v>1</v>
      </c>
      <c r="I43" s="13" t="s">
        <v>12</v>
      </c>
      <c r="J43" s="13" t="s">
        <v>13</v>
      </c>
      <c r="K43" s="13" t="s">
        <v>14</v>
      </c>
      <c r="L43" s="13" t="s">
        <v>15</v>
      </c>
      <c r="M43" s="13" t="s">
        <v>16</v>
      </c>
      <c r="N43" s="13" t="s">
        <v>17</v>
      </c>
      <c r="O43" s="13" t="s">
        <v>18</v>
      </c>
      <c r="P43" s="13" t="s">
        <v>19</v>
      </c>
      <c r="Q43" s="13" t="s">
        <v>20</v>
      </c>
      <c r="R43" s="13" t="s">
        <v>21</v>
      </c>
      <c r="S43" s="13" t="s">
        <v>22</v>
      </c>
      <c r="T43" s="13" t="s">
        <v>23</v>
      </c>
      <c r="U43" s="13" t="s">
        <v>24</v>
      </c>
      <c r="V43" s="13" t="s">
        <v>53</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D2242"/>
  <sheetViews>
    <sheetView showGridLines="0" tabSelected="1" zoomScaleNormal="100" workbookViewId="0">
      <selection activeCell="M23" sqref="M23"/>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25</v>
      </c>
      <c r="C19" s="15" t="s">
        <v>26</v>
      </c>
      <c r="D19" s="15"/>
      <c r="E19" s="15"/>
      <c r="F19" s="15"/>
      <c r="G19" s="15"/>
      <c r="H19" s="15"/>
      <c r="I19" s="15"/>
      <c r="J19" s="16"/>
      <c r="K19" s="16"/>
      <c r="L19" s="16"/>
      <c r="M19" s="5"/>
      <c r="N19"/>
      <c r="O19"/>
    </row>
    <row r="20" spans="2:27" ht="18">
      <c r="B20" s="17" t="s">
        <v>34</v>
      </c>
      <c r="C20" s="15" t="s">
        <v>53</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28</v>
      </c>
      <c r="C22" s="15"/>
      <c r="D22" s="17" t="s">
        <v>0</v>
      </c>
      <c r="E22" s="15"/>
      <c r="F22" s="15"/>
      <c r="G22" s="15"/>
      <c r="H22" s="15"/>
      <c r="I22" s="15"/>
      <c r="J22" s="15"/>
      <c r="K22"/>
      <c r="L22"/>
      <c r="M22" s="4"/>
      <c r="N22" s="4"/>
      <c r="O22" s="4"/>
      <c r="P22" s="4"/>
      <c r="Q22"/>
      <c r="R22"/>
      <c r="S22"/>
      <c r="T22"/>
      <c r="U22" s="4"/>
      <c r="V22" s="4"/>
    </row>
    <row r="23" spans="2:27" ht="14.5">
      <c r="B23" s="17" t="s">
        <v>27</v>
      </c>
      <c r="C23" s="17" t="s">
        <v>35</v>
      </c>
      <c r="D23" s="15">
        <v>2023</v>
      </c>
      <c r="E23" s="15">
        <v>2024</v>
      </c>
      <c r="F23" s="15">
        <v>2025</v>
      </c>
      <c r="G23" s="15">
        <v>2026</v>
      </c>
      <c r="H23" s="15">
        <v>2027</v>
      </c>
      <c r="I23" s="15">
        <v>2028</v>
      </c>
      <c r="J23" s="15">
        <v>2029</v>
      </c>
      <c r="K23"/>
      <c r="L23"/>
      <c r="M23" s="4"/>
      <c r="N23" s="4"/>
      <c r="O23" s="4"/>
      <c r="P23" s="4"/>
      <c r="Q23"/>
      <c r="R23"/>
      <c r="S23"/>
      <c r="T23"/>
      <c r="U23" s="4"/>
      <c r="V23" s="4"/>
    </row>
    <row r="24" spans="2:27" ht="14.5">
      <c r="B24" s="15" t="s">
        <v>30</v>
      </c>
      <c r="C24" s="15" t="s">
        <v>36</v>
      </c>
      <c r="D24" s="18">
        <v>1080.5714053600004</v>
      </c>
      <c r="E24" s="18">
        <v>1199.33569786</v>
      </c>
      <c r="F24" s="18">
        <v>1256.42998844</v>
      </c>
      <c r="G24" s="18">
        <v>1426.00513875</v>
      </c>
      <c r="H24" s="18">
        <v>1594.1455207500001</v>
      </c>
      <c r="I24" s="18">
        <v>1725.9842381200001</v>
      </c>
      <c r="J24" s="18">
        <v>1882.4548510300001</v>
      </c>
      <c r="K24"/>
      <c r="L24"/>
      <c r="M24"/>
      <c r="N24"/>
      <c r="O24"/>
      <c r="P24"/>
      <c r="Q24"/>
      <c r="R24"/>
      <c r="S24"/>
      <c r="T24"/>
      <c r="U24"/>
      <c r="V24"/>
      <c r="W24"/>
      <c r="X24"/>
      <c r="Y24"/>
    </row>
    <row r="25" spans="2:27" ht="14.5">
      <c r="B25" s="15"/>
      <c r="C25" s="15" t="s">
        <v>37</v>
      </c>
      <c r="D25" s="18">
        <v>1141.5111547499998</v>
      </c>
      <c r="E25" s="18">
        <v>1003.1677778299999</v>
      </c>
      <c r="F25" s="18">
        <v>1056.98117032</v>
      </c>
      <c r="G25" s="18">
        <v>1106.9921593700001</v>
      </c>
      <c r="H25" s="18">
        <v>1148.5710256</v>
      </c>
      <c r="I25" s="18">
        <v>1227.6789759999999</v>
      </c>
      <c r="J25" s="18">
        <v>1318.04186211</v>
      </c>
      <c r="K25"/>
      <c r="L25"/>
      <c r="M25"/>
      <c r="N25"/>
      <c r="O25"/>
      <c r="P25"/>
      <c r="Q25"/>
      <c r="R25"/>
      <c r="S25"/>
      <c r="T25"/>
      <c r="U25"/>
      <c r="V25"/>
      <c r="W25"/>
      <c r="X25"/>
      <c r="Y25"/>
    </row>
    <row r="26" spans="2:27" ht="14.5">
      <c r="B26" s="15"/>
      <c r="C26" s="15" t="s">
        <v>38</v>
      </c>
      <c r="D26" s="18">
        <v>976.94512176000023</v>
      </c>
      <c r="E26" s="18">
        <v>919.00808553000002</v>
      </c>
      <c r="F26" s="18">
        <v>715.40601031000006</v>
      </c>
      <c r="G26" s="18">
        <v>736.90485199</v>
      </c>
      <c r="H26" s="18">
        <v>777.24076392999996</v>
      </c>
      <c r="I26" s="18">
        <v>796.93202402999998</v>
      </c>
      <c r="J26" s="18">
        <v>814.92677053</v>
      </c>
      <c r="K26"/>
      <c r="L26"/>
      <c r="M26"/>
      <c r="N26"/>
      <c r="O26"/>
      <c r="P26"/>
      <c r="Q26"/>
      <c r="R26"/>
      <c r="S26"/>
      <c r="T26"/>
      <c r="U26"/>
      <c r="V26"/>
      <c r="W26"/>
      <c r="X26"/>
      <c r="Y26"/>
    </row>
    <row r="27" spans="2:27" ht="14.5">
      <c r="B27" s="15"/>
      <c r="C27" s="15" t="s">
        <v>39</v>
      </c>
      <c r="D27" s="18">
        <v>302.04931078999999</v>
      </c>
      <c r="E27" s="18">
        <v>357.42813422</v>
      </c>
      <c r="F27" s="18">
        <v>399.52620952000001</v>
      </c>
      <c r="G27" s="18">
        <v>461.89009900000002</v>
      </c>
      <c r="H27" s="18">
        <v>510.11080264999998</v>
      </c>
      <c r="I27" s="18">
        <v>498.54442461999997</v>
      </c>
      <c r="J27" s="18">
        <v>471.34247892000002</v>
      </c>
      <c r="K27"/>
      <c r="L27"/>
      <c r="M27"/>
      <c r="N27"/>
      <c r="O27"/>
      <c r="P27"/>
      <c r="Q27"/>
      <c r="R27"/>
      <c r="S27"/>
      <c r="T27"/>
      <c r="U27"/>
      <c r="V27"/>
      <c r="W27"/>
      <c r="X27"/>
      <c r="Y27"/>
      <c r="Z27"/>
      <c r="AA27"/>
    </row>
    <row r="28" spans="2:27" ht="14.5">
      <c r="B28" s="15"/>
      <c r="C28" s="15" t="s">
        <v>40</v>
      </c>
      <c r="D28" s="18">
        <v>294.28173990999983</v>
      </c>
      <c r="E28" s="18">
        <v>269.6251219200002</v>
      </c>
      <c r="F28" s="18">
        <v>296.09245348000002</v>
      </c>
      <c r="G28" s="18">
        <v>303.54816177999999</v>
      </c>
      <c r="H28" s="18">
        <v>315.51320568</v>
      </c>
      <c r="I28" s="18">
        <v>334.23125003000001</v>
      </c>
      <c r="J28" s="18">
        <v>359.04317555</v>
      </c>
      <c r="K28"/>
      <c r="L28"/>
      <c r="M28"/>
      <c r="N28"/>
      <c r="O28"/>
      <c r="P28"/>
      <c r="Q28"/>
      <c r="R28"/>
      <c r="S28"/>
      <c r="T28"/>
      <c r="U28"/>
      <c r="V28"/>
      <c r="W28"/>
      <c r="X28"/>
      <c r="Y28"/>
      <c r="Z28"/>
      <c r="AA28"/>
    </row>
    <row r="29" spans="2:27" ht="14.5">
      <c r="B29" s="15"/>
      <c r="C29" s="15" t="s">
        <v>41</v>
      </c>
      <c r="D29" s="18">
        <v>283.81268105999993</v>
      </c>
      <c r="E29" s="18">
        <v>252.47833503999999</v>
      </c>
      <c r="F29" s="18">
        <v>280.41908590999998</v>
      </c>
      <c r="G29" s="18">
        <v>273.64082989000002</v>
      </c>
      <c r="H29" s="18">
        <v>281.17320014000001</v>
      </c>
      <c r="I29" s="18">
        <v>293.0396131</v>
      </c>
      <c r="J29" s="18">
        <v>297.33074886999998</v>
      </c>
      <c r="K29"/>
      <c r="L29"/>
      <c r="M29"/>
      <c r="N29"/>
      <c r="O29"/>
      <c r="P29"/>
      <c r="Q29"/>
      <c r="R29"/>
      <c r="S29"/>
      <c r="T29"/>
      <c r="U29"/>
      <c r="V29"/>
      <c r="W29"/>
      <c r="X29"/>
      <c r="Y29"/>
      <c r="Z29"/>
      <c r="AA29"/>
    </row>
    <row r="30" spans="2:27" ht="14.5">
      <c r="B30" s="15"/>
      <c r="C30" s="15" t="s">
        <v>43</v>
      </c>
      <c r="D30" s="18">
        <v>233.17568713</v>
      </c>
      <c r="E30" s="18">
        <v>190.27099867999999</v>
      </c>
      <c r="F30" s="18">
        <v>258.66258567</v>
      </c>
      <c r="G30" s="18">
        <v>251.52171799000001</v>
      </c>
      <c r="H30" s="18">
        <v>240.41265419000001</v>
      </c>
      <c r="I30" s="18">
        <v>260.57684293</v>
      </c>
      <c r="J30" s="18">
        <v>268.30330686000002</v>
      </c>
      <c r="K30"/>
      <c r="L30"/>
      <c r="M30"/>
      <c r="N30"/>
      <c r="O30"/>
      <c r="P30"/>
      <c r="Q30"/>
      <c r="R30"/>
      <c r="S30"/>
      <c r="T30"/>
      <c r="U30"/>
      <c r="V30"/>
      <c r="W30"/>
      <c r="X30"/>
      <c r="Y30"/>
      <c r="Z30"/>
      <c r="AA30"/>
    </row>
    <row r="31" spans="2:27" ht="14.5">
      <c r="B31" s="15"/>
      <c r="C31" s="15" t="s">
        <v>42</v>
      </c>
      <c r="D31" s="18">
        <v>192.30558524000014</v>
      </c>
      <c r="E31" s="18">
        <v>189.81175677000004</v>
      </c>
      <c r="F31" s="18">
        <v>194.33089534999999</v>
      </c>
      <c r="G31" s="18">
        <v>187.76191104</v>
      </c>
      <c r="H31" s="18">
        <v>193.44164398000001</v>
      </c>
      <c r="I31" s="18">
        <v>201.22190151000001</v>
      </c>
      <c r="J31" s="18">
        <v>210.07855228</v>
      </c>
      <c r="K31"/>
      <c r="L31"/>
      <c r="M31"/>
      <c r="N31"/>
      <c r="O31"/>
      <c r="P31"/>
      <c r="Q31"/>
      <c r="R31"/>
      <c r="S31"/>
      <c r="T31"/>
      <c r="U31"/>
      <c r="V31"/>
      <c r="W31"/>
      <c r="X31"/>
      <c r="Y31"/>
      <c r="Z31"/>
      <c r="AA31"/>
    </row>
    <row r="32" spans="2:27" ht="14.5">
      <c r="B32" s="15"/>
      <c r="C32" s="15" t="s">
        <v>44</v>
      </c>
      <c r="D32" s="18">
        <v>208.59940323999999</v>
      </c>
      <c r="E32" s="18">
        <v>175.89402822000002</v>
      </c>
      <c r="F32" s="18">
        <v>188.64960001</v>
      </c>
      <c r="G32" s="18">
        <v>196.5276906</v>
      </c>
      <c r="H32" s="18">
        <v>179.76237857000001</v>
      </c>
      <c r="I32" s="18">
        <v>189.67906245</v>
      </c>
      <c r="J32" s="18">
        <v>180.10567890999999</v>
      </c>
      <c r="K32"/>
      <c r="L32"/>
      <c r="M32"/>
      <c r="N32"/>
      <c r="O32"/>
      <c r="P32"/>
      <c r="Q32"/>
      <c r="R32"/>
      <c r="S32"/>
      <c r="T32"/>
      <c r="U32"/>
      <c r="V32"/>
      <c r="W32"/>
      <c r="X32"/>
      <c r="Y32"/>
      <c r="Z32"/>
      <c r="AA32"/>
    </row>
    <row r="33" spans="2:27" ht="14.5">
      <c r="B33" s="15"/>
      <c r="C33" s="15" t="s">
        <v>45</v>
      </c>
      <c r="D33" s="18">
        <v>159.15649052000003</v>
      </c>
      <c r="E33" s="18">
        <v>119.30274497000001</v>
      </c>
      <c r="F33" s="18">
        <v>116.44246656</v>
      </c>
      <c r="G33" s="18">
        <v>121.59673182</v>
      </c>
      <c r="H33" s="18">
        <v>127.80221874</v>
      </c>
      <c r="I33" s="18">
        <v>124.51854394</v>
      </c>
      <c r="J33" s="18">
        <v>129.41297033000001</v>
      </c>
      <c r="K33"/>
      <c r="L33"/>
      <c r="M33"/>
      <c r="N33"/>
      <c r="O33"/>
      <c r="P33"/>
      <c r="Q33"/>
      <c r="R33"/>
      <c r="S33"/>
      <c r="T33"/>
      <c r="U33"/>
      <c r="V33"/>
      <c r="W33"/>
      <c r="X33"/>
      <c r="Y33"/>
      <c r="Z33"/>
      <c r="AA33"/>
    </row>
    <row r="34" spans="2:27" ht="14.5">
      <c r="B34" s="15"/>
      <c r="C34" s="15" t="s">
        <v>47</v>
      </c>
      <c r="D34" s="18">
        <v>62.056501449999992</v>
      </c>
      <c r="E34" s="18">
        <v>61.834109559999987</v>
      </c>
      <c r="F34" s="18">
        <v>67.34691187</v>
      </c>
      <c r="G34" s="18">
        <v>65.008429149999998</v>
      </c>
      <c r="H34" s="18">
        <v>69.643041150000002</v>
      </c>
      <c r="I34" s="18">
        <v>71.782226089999995</v>
      </c>
      <c r="J34" s="18">
        <v>73.729715569999996</v>
      </c>
      <c r="K34"/>
      <c r="L34"/>
      <c r="M34"/>
      <c r="N34"/>
      <c r="O34"/>
      <c r="P34"/>
      <c r="Q34"/>
      <c r="R34"/>
      <c r="S34"/>
      <c r="T34"/>
      <c r="U34"/>
      <c r="V34"/>
      <c r="W34"/>
      <c r="X34"/>
      <c r="Y34"/>
      <c r="Z34"/>
      <c r="AA34"/>
    </row>
    <row r="35" spans="2:27" ht="14.5">
      <c r="B35" s="15"/>
      <c r="C35" s="15" t="s">
        <v>46</v>
      </c>
      <c r="D35" s="18">
        <v>82.463793749999979</v>
      </c>
      <c r="E35" s="18">
        <v>67.876809860000009</v>
      </c>
      <c r="F35" s="18">
        <v>55.168944779999997</v>
      </c>
      <c r="G35" s="18">
        <v>53.122426320000002</v>
      </c>
      <c r="H35" s="18">
        <v>56.026811199999997</v>
      </c>
      <c r="I35" s="18">
        <v>53.911395480000003</v>
      </c>
      <c r="J35" s="18">
        <v>50.135245179999998</v>
      </c>
      <c r="K35"/>
      <c r="L35"/>
      <c r="M35"/>
      <c r="N35"/>
      <c r="O35"/>
      <c r="P35"/>
      <c r="Q35"/>
      <c r="R35"/>
      <c r="S35"/>
      <c r="T35"/>
      <c r="U35"/>
      <c r="V35"/>
      <c r="W35"/>
      <c r="X35"/>
      <c r="Y35"/>
      <c r="Z35"/>
      <c r="AA35"/>
    </row>
    <row r="36" spans="2:27" ht="14.5">
      <c r="B36" s="15"/>
      <c r="C36" s="15" t="s">
        <v>48</v>
      </c>
      <c r="D36" s="18">
        <v>13.601418390000001</v>
      </c>
      <c r="E36" s="18">
        <v>16.879783719999999</v>
      </c>
      <c r="F36" s="18">
        <v>18.665904730000001</v>
      </c>
      <c r="G36" s="18">
        <v>17.812400060000002</v>
      </c>
      <c r="H36" s="18">
        <v>17.121991690000002</v>
      </c>
      <c r="I36" s="18">
        <v>18.425079369999999</v>
      </c>
      <c r="J36" s="18">
        <v>15.99414754</v>
      </c>
      <c r="K36"/>
      <c r="L36"/>
      <c r="M36"/>
      <c r="N36"/>
      <c r="O36"/>
      <c r="P36"/>
      <c r="Q36"/>
      <c r="R36"/>
      <c r="S36"/>
      <c r="T36"/>
      <c r="U36"/>
      <c r="V36"/>
      <c r="W36"/>
      <c r="X36"/>
      <c r="Y36"/>
      <c r="Z36"/>
      <c r="AA36"/>
    </row>
    <row r="37" spans="2:27" ht="14.5">
      <c r="B37" s="15" t="s">
        <v>32</v>
      </c>
      <c r="C37" s="15"/>
      <c r="D37" s="18">
        <v>5030.5302933500016</v>
      </c>
      <c r="E37" s="18">
        <v>4822.9133841799994</v>
      </c>
      <c r="F37" s="18">
        <v>4904.1222269500004</v>
      </c>
      <c r="G37" s="18">
        <v>5202.332547760001</v>
      </c>
      <c r="H37" s="18">
        <v>5510.96525827</v>
      </c>
      <c r="I37" s="18">
        <v>5796.5255776700005</v>
      </c>
      <c r="J37" s="18">
        <v>6070.8995036799997</v>
      </c>
      <c r="K37"/>
      <c r="L37"/>
      <c r="M37"/>
      <c r="N37"/>
      <c r="O37"/>
      <c r="P37"/>
      <c r="Q37"/>
      <c r="R37"/>
      <c r="S37"/>
      <c r="T37"/>
      <c r="U37"/>
      <c r="V37"/>
      <c r="W37"/>
      <c r="X37"/>
      <c r="Y37"/>
      <c r="Z37"/>
      <c r="AA37"/>
    </row>
    <row r="38" spans="2:27" ht="14.5">
      <c r="B38" s="15" t="s">
        <v>31</v>
      </c>
      <c r="C38" s="15" t="s">
        <v>49</v>
      </c>
      <c r="D38" s="18">
        <v>19698.177168940001</v>
      </c>
      <c r="E38" s="18">
        <v>15561.864431099999</v>
      </c>
      <c r="F38" s="18">
        <v>16188.193805159999</v>
      </c>
      <c r="G38" s="18">
        <v>16019.255133369999</v>
      </c>
      <c r="H38" s="18">
        <v>16360.17757534</v>
      </c>
      <c r="I38" s="18">
        <v>16852.090466879999</v>
      </c>
      <c r="J38" s="18">
        <v>17451.39084724</v>
      </c>
      <c r="K38"/>
      <c r="L38"/>
      <c r="M38"/>
      <c r="N38"/>
      <c r="O38"/>
      <c r="P38"/>
      <c r="Q38"/>
      <c r="R38"/>
      <c r="S38"/>
      <c r="T38"/>
      <c r="U38"/>
      <c r="V38"/>
      <c r="W38"/>
      <c r="X38"/>
      <c r="Y38"/>
      <c r="Z38"/>
      <c r="AA38"/>
    </row>
    <row r="39" spans="2:27" ht="14.5">
      <c r="B39" s="15" t="s">
        <v>33</v>
      </c>
      <c r="C39" s="15"/>
      <c r="D39" s="18">
        <v>19698.177168940001</v>
      </c>
      <c r="E39" s="18">
        <v>15561.864431099999</v>
      </c>
      <c r="F39" s="18">
        <v>16188.193805159999</v>
      </c>
      <c r="G39" s="18">
        <v>16019.255133369999</v>
      </c>
      <c r="H39" s="18">
        <v>16360.17757534</v>
      </c>
      <c r="I39" s="18">
        <v>16852.090466879999</v>
      </c>
      <c r="J39" s="18">
        <v>17451.39084724</v>
      </c>
      <c r="K39"/>
      <c r="L39"/>
      <c r="M39"/>
      <c r="N39"/>
      <c r="O39"/>
      <c r="P39"/>
      <c r="Q39"/>
      <c r="R39"/>
      <c r="S39"/>
      <c r="T39"/>
      <c r="U39"/>
      <c r="V39"/>
      <c r="W39"/>
      <c r="X39"/>
      <c r="Y39"/>
      <c r="Z39"/>
      <c r="AA39"/>
    </row>
    <row r="40" spans="2:27" ht="14.5">
      <c r="B40" s="15" t="s">
        <v>29</v>
      </c>
      <c r="C40" s="15"/>
      <c r="D40" s="18">
        <v>24728.707462290004</v>
      </c>
      <c r="E40" s="18">
        <v>20384.777815279998</v>
      </c>
      <c r="F40" s="18">
        <v>21092.31603211</v>
      </c>
      <c r="G40" s="18">
        <v>21221.58768113</v>
      </c>
      <c r="H40" s="18">
        <v>21871.14283361</v>
      </c>
      <c r="I40" s="18">
        <v>22648.616044549999</v>
      </c>
      <c r="J40" s="18">
        <v>23522.29035092</v>
      </c>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s="15"/>
      <c r="C43" s="15"/>
      <c r="D43" s="15"/>
      <c r="E43" s="15"/>
      <c r="F43" s="15"/>
      <c r="G43" s="15"/>
      <c r="H43" s="15"/>
      <c r="I43" s="15"/>
      <c r="J43" s="15"/>
      <c r="K43"/>
      <c r="L43"/>
      <c r="M43"/>
      <c r="N43"/>
      <c r="O43"/>
      <c r="P43"/>
      <c r="Q43"/>
      <c r="R43"/>
      <c r="S43"/>
      <c r="T43"/>
      <c r="U43"/>
      <c r="V43"/>
      <c r="W43"/>
      <c r="X43"/>
      <c r="Y43"/>
      <c r="Z43"/>
      <c r="AA43"/>
    </row>
    <row r="44" spans="2:27" ht="18">
      <c r="B44" s="15"/>
      <c r="C44" s="15"/>
      <c r="D44" s="15"/>
      <c r="E44" s="15"/>
      <c r="F44" s="15"/>
      <c r="G44" s="15"/>
      <c r="H44" s="15"/>
      <c r="I44" s="15"/>
      <c r="J44" s="16"/>
      <c r="K44"/>
      <c r="L44"/>
      <c r="M44"/>
      <c r="N44"/>
      <c r="O44"/>
      <c r="P44"/>
      <c r="Q44"/>
      <c r="R44"/>
      <c r="S44"/>
      <c r="T44"/>
      <c r="U44"/>
      <c r="V44"/>
      <c r="W44"/>
      <c r="X44"/>
      <c r="Y44"/>
      <c r="Z44"/>
      <c r="AA44"/>
    </row>
    <row r="45" spans="2:27" ht="18">
      <c r="B45" s="15"/>
      <c r="C45" s="15"/>
      <c r="D45" s="15"/>
      <c r="E45" s="15"/>
      <c r="F45" s="15"/>
      <c r="G45" s="15"/>
      <c r="H45" s="15"/>
      <c r="I45" s="15"/>
      <c r="J45" s="16"/>
      <c r="K45"/>
      <c r="L45"/>
      <c r="M45"/>
      <c r="N45"/>
      <c r="O45"/>
      <c r="P45"/>
      <c r="Q45"/>
      <c r="R45"/>
      <c r="S45"/>
      <c r="T45"/>
      <c r="U45"/>
      <c r="V45"/>
      <c r="W45"/>
      <c r="X45"/>
      <c r="Y45"/>
      <c r="Z45"/>
      <c r="AA45"/>
    </row>
    <row r="46" spans="2:27" ht="18">
      <c r="B46" s="15"/>
      <c r="C46" s="15"/>
      <c r="D46" s="15"/>
      <c r="E46" s="15"/>
      <c r="F46" s="15"/>
      <c r="G46" s="15"/>
      <c r="H46" s="15"/>
      <c r="I46" s="15"/>
      <c r="J46" s="1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30" ht="14.5">
      <c r="B65"/>
      <c r="C65"/>
      <c r="D65"/>
      <c r="E65"/>
      <c r="F65"/>
      <c r="G65"/>
      <c r="H65"/>
      <c r="I65"/>
      <c r="J65"/>
      <c r="K65"/>
      <c r="L65"/>
      <c r="M65"/>
      <c r="N65"/>
      <c r="O65"/>
      <c r="P65"/>
      <c r="Q65"/>
      <c r="R65"/>
      <c r="S65"/>
      <c r="T65"/>
      <c r="U65"/>
      <c r="V65"/>
      <c r="W65"/>
      <c r="X65"/>
      <c r="Y65"/>
      <c r="Z65"/>
    </row>
    <row r="66" spans="2:30" ht="14" customHeight="1">
      <c r="B66"/>
      <c r="C66"/>
      <c r="D66"/>
      <c r="E66"/>
      <c r="F66"/>
      <c r="G66"/>
      <c r="H66"/>
      <c r="I66"/>
      <c r="J66"/>
      <c r="K66"/>
      <c r="L66"/>
      <c r="M66"/>
      <c r="N66"/>
    </row>
    <row r="67" spans="2:30" ht="14.5">
      <c r="B67" s="15"/>
      <c r="C67" s="15"/>
      <c r="D67"/>
      <c r="E67"/>
      <c r="F67"/>
      <c r="G67"/>
      <c r="H67"/>
      <c r="I67"/>
      <c r="J67"/>
      <c r="K67"/>
      <c r="L67"/>
      <c r="M67"/>
      <c r="N67"/>
    </row>
    <row r="68" spans="2:30" ht="14.5">
      <c r="B68" s="15"/>
      <c r="C68" s="15"/>
      <c r="D68" s="15"/>
      <c r="E68" s="15"/>
      <c r="F68" s="15"/>
      <c r="G68" s="15"/>
      <c r="H68" s="15"/>
      <c r="I68" s="15"/>
      <c r="J68" s="15"/>
      <c r="K68"/>
      <c r="L68"/>
      <c r="M68"/>
      <c r="N68"/>
    </row>
    <row r="69" spans="2:30" ht="18">
      <c r="B69" s="15"/>
      <c r="C69" s="15"/>
      <c r="D69" s="15"/>
      <c r="E69" s="15"/>
      <c r="F69" s="15"/>
      <c r="G69" s="15"/>
      <c r="H69" s="15"/>
      <c r="I69" s="15"/>
      <c r="J69" s="16"/>
      <c r="K69"/>
      <c r="L69"/>
      <c r="M69"/>
      <c r="N69"/>
    </row>
    <row r="70" spans="2:30" ht="18">
      <c r="B70" s="15"/>
      <c r="C70" s="15"/>
      <c r="D70" s="15"/>
      <c r="E70" s="15"/>
      <c r="F70" s="15"/>
      <c r="G70" s="15"/>
      <c r="H70" s="15"/>
      <c r="I70" s="15"/>
      <c r="J70" s="16"/>
      <c r="K70"/>
      <c r="L70"/>
      <c r="M70"/>
      <c r="N70"/>
    </row>
    <row r="71" spans="2:30" ht="14" customHeight="1">
      <c r="B71" s="15"/>
      <c r="C71" s="15"/>
      <c r="D71" s="15"/>
      <c r="E71" s="15"/>
      <c r="F71" s="15"/>
      <c r="G71" s="15"/>
      <c r="H71" s="15"/>
      <c r="I71" s="15"/>
      <c r="J71" s="16"/>
      <c r="K71"/>
      <c r="L71"/>
      <c r="M71"/>
      <c r="N71"/>
    </row>
    <row r="72" spans="2:30" ht="14.5">
      <c r="B72"/>
      <c r="C72"/>
      <c r="D72"/>
      <c r="E72"/>
      <c r="F72"/>
      <c r="G72"/>
      <c r="H72"/>
      <c r="I72"/>
      <c r="J72"/>
      <c r="K72"/>
      <c r="L72"/>
      <c r="M72"/>
      <c r="N72"/>
      <c r="O72"/>
      <c r="P72"/>
      <c r="Q72"/>
      <c r="R72"/>
      <c r="S72"/>
      <c r="T72"/>
      <c r="U72"/>
      <c r="V72"/>
      <c r="W72"/>
      <c r="X72"/>
      <c r="Y72"/>
      <c r="Z72"/>
      <c r="AA72"/>
      <c r="AB72"/>
      <c r="AC72"/>
      <c r="AD72"/>
    </row>
    <row r="73" spans="2:30" ht="14.5">
      <c r="B73"/>
      <c r="C73"/>
      <c r="D73"/>
      <c r="E73"/>
      <c r="F73"/>
      <c r="G73"/>
      <c r="H73"/>
      <c r="I73"/>
      <c r="J73"/>
      <c r="K73"/>
      <c r="L73"/>
      <c r="M73"/>
      <c r="N73"/>
      <c r="O73"/>
      <c r="P73"/>
      <c r="Q73"/>
      <c r="R73"/>
      <c r="S73"/>
      <c r="T73"/>
      <c r="U73"/>
      <c r="V73"/>
      <c r="W73"/>
      <c r="X73"/>
      <c r="Y73"/>
      <c r="Z73"/>
      <c r="AA73"/>
      <c r="AB73"/>
      <c r="AC73"/>
      <c r="AD73"/>
    </row>
    <row r="74" spans="2:30" ht="14.5">
      <c r="B74"/>
      <c r="C74"/>
      <c r="D74"/>
      <c r="E74"/>
      <c r="F74"/>
      <c r="G74"/>
      <c r="H74"/>
      <c r="I74"/>
      <c r="J74"/>
      <c r="K74"/>
      <c r="L74"/>
      <c r="M74"/>
      <c r="N74"/>
      <c r="O74"/>
      <c r="P74"/>
      <c r="Q74"/>
      <c r="R74"/>
      <c r="S74"/>
      <c r="T74"/>
      <c r="U74"/>
      <c r="V74"/>
      <c r="W74"/>
      <c r="X74"/>
      <c r="Y74"/>
      <c r="Z74"/>
      <c r="AA74"/>
      <c r="AB74"/>
      <c r="AC74"/>
      <c r="AD74"/>
    </row>
    <row r="75" spans="2:30" ht="14.5">
      <c r="B75"/>
      <c r="C75"/>
      <c r="D75"/>
      <c r="E75"/>
      <c r="F75"/>
      <c r="G75"/>
      <c r="H75"/>
      <c r="I75"/>
      <c r="J75"/>
      <c r="K75"/>
      <c r="L75"/>
      <c r="M75"/>
      <c r="N75"/>
      <c r="O75"/>
      <c r="P75"/>
      <c r="Q75"/>
      <c r="R75"/>
      <c r="S75"/>
      <c r="T75"/>
      <c r="U75"/>
      <c r="V75"/>
      <c r="W75"/>
      <c r="X75"/>
      <c r="Y75"/>
      <c r="Z75"/>
      <c r="AA75"/>
      <c r="AB75"/>
      <c r="AC75"/>
      <c r="AD75"/>
    </row>
    <row r="76" spans="2:30" ht="14.5">
      <c r="B76"/>
      <c r="C76"/>
      <c r="D76"/>
      <c r="E76"/>
      <c r="F76"/>
      <c r="G76"/>
      <c r="H76"/>
      <c r="I76"/>
      <c r="J76"/>
      <c r="K76"/>
      <c r="L76"/>
      <c r="M76"/>
      <c r="N76"/>
      <c r="O76"/>
      <c r="P76"/>
      <c r="Q76"/>
      <c r="R76"/>
      <c r="S76"/>
      <c r="T76"/>
      <c r="U76"/>
      <c r="V76"/>
      <c r="W76"/>
      <c r="X76"/>
      <c r="Y76"/>
      <c r="Z76"/>
      <c r="AA76"/>
      <c r="AB76"/>
      <c r="AC76"/>
      <c r="AD76"/>
    </row>
    <row r="77" spans="2:30" ht="14.5">
      <c r="B77"/>
      <c r="C77"/>
      <c r="D77"/>
      <c r="E77"/>
      <c r="F77"/>
      <c r="G77"/>
      <c r="H77"/>
      <c r="I77"/>
      <c r="J77"/>
      <c r="K77"/>
      <c r="L77"/>
      <c r="M77"/>
      <c r="N77"/>
      <c r="O77"/>
      <c r="P77"/>
      <c r="Q77"/>
      <c r="R77"/>
      <c r="S77"/>
      <c r="T77"/>
      <c r="U77"/>
      <c r="V77"/>
      <c r="W77"/>
      <c r="X77"/>
      <c r="Y77"/>
      <c r="Z77"/>
      <c r="AA77"/>
      <c r="AB77"/>
      <c r="AC77"/>
      <c r="AD77"/>
    </row>
    <row r="78" spans="2:30" ht="14" customHeight="1">
      <c r="B78"/>
      <c r="C78"/>
      <c r="D78"/>
      <c r="E78"/>
      <c r="F78"/>
      <c r="G78"/>
      <c r="H78"/>
      <c r="I78"/>
      <c r="J78"/>
      <c r="K78"/>
      <c r="L78"/>
      <c r="M78"/>
      <c r="N78"/>
    </row>
    <row r="79" spans="2:30" ht="14" customHeight="1">
      <c r="B79"/>
      <c r="C79"/>
      <c r="D79"/>
      <c r="E79"/>
      <c r="F79"/>
      <c r="G79"/>
      <c r="H79"/>
      <c r="I79"/>
      <c r="J79"/>
      <c r="K79"/>
      <c r="L79"/>
      <c r="M79"/>
      <c r="N79"/>
    </row>
    <row r="80" spans="2:30"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4" sqref="A4"/>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50</v>
      </c>
      <c r="B1" s="1"/>
    </row>
    <row r="2" spans="1:2" ht="25.75" customHeight="1">
      <c r="A2" s="1" t="s">
        <v>51</v>
      </c>
    </row>
    <row r="3" spans="1:2" ht="25.75" customHeight="1">
      <c r="A3" s="1" t="s">
        <v>52</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2025-12-18T06:15:50Z</dcterms:modified>
</cp:coreProperties>
</file>