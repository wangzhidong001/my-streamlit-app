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Work Documents\Switch\2025Q4\Delivery\"/>
    </mc:Choice>
  </mc:AlternateContent>
  <xr:revisionPtr revIDLastSave="0" documentId="13_ncr:1_{F46170BF-4B10-4B98-8D92-F693E54C04AF}" xr6:coauthVersionLast="47" xr6:coauthVersionMax="47" xr10:uidLastSave="{00000000-0000-0000-0000-000000000000}"/>
  <bookViews>
    <workbookView xWindow="19090" yWindow="-110" windowWidth="38620" windowHeight="21100" xr2:uid="{00000000-000D-0000-FFFF-FFFF00000000}"/>
  </bookViews>
  <sheets>
    <sheet name="Cover" sheetId="2" r:id="rId1"/>
    <sheet name="Info" sheetId="14" r:id="rId2"/>
    <sheet name="Product" sheetId="16" r:id="rId3"/>
    <sheet name="DC Product" sheetId="20" r:id="rId4"/>
    <sheet name="Ethernet Optical Network" sheetId="27" r:id="rId5"/>
    <sheet name="Dates" sheetId="4" state="hidden" r:id="rId6"/>
  </sheets>
  <externalReferences>
    <externalReference r:id="rId7"/>
    <externalReference r:id="rId8"/>
    <externalReference r:id="rId9"/>
    <externalReference r:id="rId10"/>
    <externalReference r:id="rId11"/>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concurrentCalc="0"/>
  <pivotCaches>
    <pivotCache cacheId="0" r:id="rId12"/>
    <pivotCache cacheId="1" r:id="rId13"/>
    <pivotCache cacheId="2"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<sst xmlns="http://schemas.openxmlformats.org/spreadsheetml/2006/main" count="121" uniqueCount="54">
  <si>
    <t>Year</t>
  </si>
  <si>
    <t>2022Q1</t>
  </si>
  <si>
    <t>Country</t>
  </si>
  <si>
    <t>PRC</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</si>
  <si>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</si>
  <si>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</si>
  <si>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</si>
  <si>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</si>
  <si>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</si>
  <si>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</si>
  <si>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</si>
  <si>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</si>
  <si>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</si>
  <si>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</si>
  <si>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</si>
  <si>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</si>
  <si>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</si>
  <si>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</si>
  <si>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</si>
  <si>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</si>
  <si>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</si>
  <si>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</si>
  <si>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</si>
  <si>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</si>
  <si>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</si>
  <si>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Sum of Vendor Revenue (CNY M)</t>
  </si>
  <si>
    <t>Grand Total</t>
  </si>
  <si>
    <t>Product</t>
  </si>
  <si>
    <t>Ethernet Switch</t>
  </si>
  <si>
    <t>Speed</t>
  </si>
  <si>
    <t>Fixed Managed</t>
  </si>
  <si>
    <t>100Mb</t>
  </si>
  <si>
    <t>1000Mb</t>
  </si>
  <si>
    <t>2.5Gb/5Gb</t>
  </si>
  <si>
    <t>10Gb</t>
  </si>
  <si>
    <t>25Gb/50Gb</t>
  </si>
  <si>
    <t>40Gb</t>
  </si>
  <si>
    <t>100Gb</t>
  </si>
  <si>
    <t>200Gb/400Gb</t>
  </si>
  <si>
    <t>800Gb</t>
  </si>
  <si>
    <t>Modular</t>
  </si>
  <si>
    <t>Fixed Unmanaged</t>
  </si>
  <si>
    <t>Place in Network</t>
  </si>
  <si>
    <t>Datacenter</t>
  </si>
  <si>
    <t>Non-DC</t>
  </si>
  <si>
    <t>Publish Date</t>
  </si>
  <si>
    <t>Ethernet Optical Network</t>
  </si>
  <si>
    <t>2025Q3</t>
  </si>
  <si>
    <t>2025Q4</t>
  </si>
  <si>
    <t>Publication Date: March 24, 2026</t>
  </si>
  <si>
    <t>IDC China Quarterly Ethernet Switch Forecast, 2025Q4</t>
  </si>
  <si>
    <t>2025Q4 Final Forecast Data</t>
  </si>
  <si>
    <t>Datacenter Total</t>
  </si>
  <si>
    <t>Non-DC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</si>
</sst>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
    <numFmt numFmtId="165" formatCode="0.0%"/>
  </numFmts>
  <fonts count="20">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amily val="2"/>
    </font>
    <font>
      <sz val="11"/>
      <color theme="1"/>
      <name val="Open Sans"/>
      <family val="2"/>
    </font>
    <font>
      <sz val="11"/>
      <color indexed="8"/>
      <name val="Calibri"/>
      <family val="2"/>
      <scheme val="minor"/>
    </font>
    <font>
      <sz val="9"/>
      <color theme="1"/>
      <name val="Open Sans"/>
      <family val="2"/>
    </font>
    <font>
      <sz val="9"/>
      <name val="Open Sans"/>
      <family val="2"/>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9">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0" fontId="17" fillId="0" borderId="0"/>
    <xf numFmtId="9" fontId="1" fillId="0" borderId="0" applyFont="0" applyFill="0" applyBorder="0" applyAlignment="0" applyProtection="0"/>
  </cellStyleXfs>
  <cellXfs count="23">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2" fontId="0" fillId="0" borderId="0" xfId="0" applyNumberFormat="1"/>
    <xf numFmtId="0" fontId="18" fillId="0" borderId="0" xfId="0" pivotButton="1" applyFont="1" applyAlignment="1">
      <alignment vertical="center"/>
    </xf>
    <xf numFmtId="0" fontId="18" fillId="0" borderId="0" xfId="0" applyFont="1" applyAlignment="1">
      <alignment vertical="center"/>
    </xf>
    <xf numFmtId="2" fontId="18" fillId="0" borderId="0" xfId="0" applyNumberFormat="1" applyFont="1" applyAlignment="1">
      <alignment vertical="center"/>
    </xf>
    <xf numFmtId="0" fontId="19" fillId="0" borderId="0" xfId="0" applyFont="1" applyAlignment="1">
      <alignment vertical="center"/>
    </xf>
    <xf numFmtId="165" fontId="0" fillId="0" borderId="0" xfId="8" applyNumberFormat="1" applyFont="1"/>
  </cellXfs>
  <cellStyles count="9">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 3" xfId="7" xr:uid="{730C8E8F-92B7-4CEE-B50A-99194AE174D2}"/>
    <cellStyle name="Normal_IDC CEE Server Tracker Q3 2002c5" xfId="1" xr:uid="{16B26B81-E3FF-4081-B965-3D574ABA5D9A}"/>
    <cellStyle name="Normal_IDC CEE Server Tracker Q3 2002c5 2" xfId="3" xr:uid="{99FA360C-337B-49B6-809F-F3923AE86BF3}"/>
    <cellStyle name="Percent" xfId="8" builtinId="5"/>
  </cellStyles>
  <dxfs count="57">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font>
        <color auto="1"/>
      </font>
    </dxf>
    <dxf>
      <font>
        <color auto="1"/>
      </font>
    </dxf>
    <dxf>
      <font>
        <color auto="1"/>
      </font>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D3F2421F-1102-4F2F-AF95-3CFB74A8F2E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pivotCacheDefinition" Target="pivotCache/pivotCacheDefinition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2020Q4</c:v>
                </c:pt>
                <c:pt idx="1">
                  <c:v>2021Q1</c:v>
                </c:pt>
                <c:pt idx="2">
                  <c:v>2021Q2</c:v>
                </c:pt>
                <c:pt idx="3">
                  <c:v>2021Q3</c:v>
                </c:pt>
                <c:pt idx="4">
                  <c:v>2021Q4</c:v>
                </c:pt>
                <c:pt idx="5">
                  <c:v>2022Q1</c:v>
                </c:pt>
                <c:pt idx="6">
                  <c:v>2022Q2</c:v>
                </c:pt>
                <c:pt idx="7">
                  <c:v>2022Q3</c:v>
                </c:pt>
                <c:pt idx="8">
                  <c:v>2022Q4</c:v>
                </c:pt>
                <c:pt idx="9">
                  <c:v>2023Q1</c:v>
                </c:pt>
                <c:pt idx="10">
                  <c:v>2023Q2</c:v>
                </c:pt>
                <c:pt idx="11">
                  <c:v>2023Q3</c:v>
                </c:pt>
                <c:pt idx="12">
                  <c:v>2023Q4</c:v>
                </c:pt>
                <c:pt idx="13">
                  <c:v>2024Q1</c:v>
                </c:pt>
                <c:pt idx="14">
                  <c:v>2024Q2</c:v>
                </c:pt>
                <c:pt idx="15">
                  <c:v>2024Q3</c:v>
                </c:pt>
                <c:pt idx="16">
                  <c:v>2024Q4</c:v>
                </c:pt>
                <c:pt idx="17">
                  <c:v>2025Q1</c:v>
                </c:pt>
                <c:pt idx="18">
                  <c:v>2025Q2</c:v>
                </c:pt>
                <c:pt idx="19">
                  <c:v>2025Q3</c:v>
                </c:pt>
                <c:pt idx="20">
                  <c:v>2025Q4</c:v>
                </c:pt>
              </c:strCache>
            </c:strRef>
          </c:cat>
          <c:val>
            <c:numRef>
              <c:f>Info!$B$44:$V$44</c:f>
              <c:numCache>
                <c:formatCode>0.00000</c:formatCode>
                <c:ptCount val="21"/>
                <c:pt idx="0">
                  <c:v>6.6223799999999997</c:v>
                </c:pt>
                <c:pt idx="1">
                  <c:v>6.4848400000000002</c:v>
                </c:pt>
                <c:pt idx="2">
                  <c:v>6.4593400000000001</c:v>
                </c:pt>
                <c:pt idx="3">
                  <c:v>6.4708500000000004</c:v>
                </c:pt>
                <c:pt idx="4">
                  <c:v>6.3937299999999997</c:v>
                </c:pt>
                <c:pt idx="5">
                  <c:v>6.34795</c:v>
                </c:pt>
                <c:pt idx="6">
                  <c:v>6.6090200000000001</c:v>
                </c:pt>
                <c:pt idx="7">
                  <c:v>6.8456099999999998</c:v>
                </c:pt>
                <c:pt idx="8">
                  <c:v>7.1093700000000002</c:v>
                </c:pt>
                <c:pt idx="9">
                  <c:v>6.8427100000000003</c:v>
                </c:pt>
                <c:pt idx="10">
                  <c:v>7.0096100000000003</c:v>
                </c:pt>
                <c:pt idx="11">
                  <c:v>7.2379800000000003</c:v>
                </c:pt>
                <c:pt idx="12">
                  <c:v>7.2001499999999998</c:v>
                </c:pt>
                <c:pt idx="13">
                  <c:v>7.1584099999999999</c:v>
                </c:pt>
                <c:pt idx="14">
                  <c:v>7.2415200000000004</c:v>
                </c:pt>
                <c:pt idx="15">
                  <c:v>7.16052</c:v>
                </c:pt>
                <c:pt idx="16">
                  <c:v>7.1914999999999996</c:v>
                </c:pt>
                <c:pt idx="17">
                  <c:v>7.2678500000000001</c:v>
                </c:pt>
                <c:pt idx="18">
                  <c:v>7.2351999999999999</c:v>
                </c:pt>
                <c:pt idx="19">
                  <c:v>7.1570499999999999</c:v>
                </c:pt>
                <c:pt idx="20">
                  <c:v>7.0908800000000003</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March 24, 2026</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Ethernet Switch Forecast, 2025Q4</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2025Q4 Final Forecast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46635</xdr:colOff>
      <xdr:row>0</xdr:row>
      <xdr:rowOff>95249</xdr:rowOff>
    </xdr:from>
    <xdr:to>
      <xdr:col>21</xdr:col>
      <xdr:colOff>625928</xdr:colOff>
      <xdr:row>9</xdr:row>
      <xdr:rowOff>160111</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82278" y="95249"/>
          <a:ext cx="13823579" cy="1779362"/>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2025Q4 Final Forecast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Ethernet Switch Forecast, 2025Q4</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March 24, 2026</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10432</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180975</xdr:rowOff>
    </xdr:from>
    <xdr:to>
      <xdr:col>22</xdr:col>
      <xdr:colOff>66675</xdr:colOff>
      <xdr:row>59</xdr:row>
      <xdr:rowOff>13607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69013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28576</xdr:rowOff>
    </xdr:from>
    <xdr:to>
      <xdr:col>21</xdr:col>
      <xdr:colOff>619125</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4693" y="2223862"/>
          <a:ext cx="13844361" cy="1895475"/>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Laura Chen</a:t>
            </a:r>
          </a:p>
          <a:p>
            <a:pPr rtl="0" eaLnBrk="1" fontAlgn="auto" latinLnBrk="0" hangingPunct="1"/>
            <a:r>
              <a:rPr lang="en-US" sz="1000">
                <a:effectLst/>
                <a:latin typeface="Open Sans" pitchFamily="2" charset="0"/>
                <a:ea typeface="Open Sans" pitchFamily="2" charset="0"/>
                <a:cs typeface="Open Sans" pitchFamily="2" charset="0"/>
              </a:rPr>
              <a:t>lachen@idc.com </a:t>
            </a:r>
          </a:p>
          <a:p>
            <a:pPr rtl="0" eaLnBrk="1" fontAlgn="auto" latinLnBrk="0" hangingPunct="1"/>
            <a:r>
              <a:rPr lang="en-US" sz="1000">
                <a:effectLst/>
                <a:latin typeface="Open Sans" pitchFamily="2" charset="0"/>
                <a:ea typeface="Open Sans" pitchFamily="2" charset="0"/>
                <a:cs typeface="Open Sans" pitchFamily="2" charset="0"/>
              </a:rPr>
              <a:t>Senior 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16</xdr:col>
      <xdr:colOff>707136</xdr:colOff>
      <xdr:row>12</xdr:row>
      <xdr:rowOff>124278</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24,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Forecast, 2025Q4</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278511</xdr:colOff>
      <xdr:row>12</xdr:row>
      <xdr:rowOff>124278</xdr:rowOff>
    </xdr:to>
    <xdr:pic>
      <xdr:nvPicPr>
        <xdr:cNvPr id="2" name="Picture 1">
          <a:extLst>
            <a:ext uri="{FF2B5EF4-FFF2-40B4-BE49-F238E27FC236}">
              <a16:creationId xmlns:a16="http://schemas.microsoft.com/office/drawing/2014/main" id="{B7A709C2-32A5-497B-AC0F-5CF80EC945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8087" y="389164"/>
          <a:ext cx="15240449" cy="19068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FD9DF1EC-E204-4C96-8EA0-1FE8B259FDCB}"/>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4685ADF-AD68-4F9B-8D61-0076A5A07B76}"/>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24,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18900F7B-C847-416D-AA67-8A7CAFD5FF3F}"/>
            </a:ext>
          </a:extLst>
        </xdr:cNvPr>
        <xdr:cNvSpPr txBox="1"/>
      </xdr:nvSpPr>
      <xdr:spPr>
        <a:xfrm>
          <a:off x="1278970" y="668237"/>
          <a:ext cx="908418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Forecast, 2025Q4</a:t>
          </a:fld>
          <a:endParaRPr lang="en-US" sz="9600" b="1">
            <a:solidFill>
              <a:schemeClr val="bg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354711</xdr:colOff>
      <xdr:row>12</xdr:row>
      <xdr:rowOff>124278</xdr:rowOff>
    </xdr:to>
    <xdr:pic>
      <xdr:nvPicPr>
        <xdr:cNvPr id="2" name="Picture 1">
          <a:extLst>
            <a:ext uri="{FF2B5EF4-FFF2-40B4-BE49-F238E27FC236}">
              <a16:creationId xmlns:a16="http://schemas.microsoft.com/office/drawing/2014/main" id="{7F72F9D0-80C5-4493-80C4-09AB10F5CD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0449"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C7CC2FE8-382E-44C9-B9AF-11FB8B6E3B59}"/>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03EF65E4-F9CA-4F87-BF4B-7330CE105339}"/>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24,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5BEF41A5-8EFC-416D-9BC2-D465B6CE13B5}"/>
            </a:ext>
          </a:extLst>
        </xdr:cNvPr>
        <xdr:cNvSpPr txBox="1"/>
      </xdr:nvSpPr>
      <xdr:spPr>
        <a:xfrm>
          <a:off x="1278970" y="668237"/>
          <a:ext cx="908418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Forecast, 2025Q4</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104.644809837962" createdVersion="8" refreshedVersion="8" minRefreshableVersion="3" recordCount="209" xr:uid="{AD9F80B8-6FBC-4C3C-880E-F22B89A1DD7F}">
  <cacheSource type="worksheet">
    <worksheetSource name="DCDB"/>
  </cacheSource>
  <cacheFields count="12">
    <cacheField name="Country" numFmtId="0">
      <sharedItems count="1">
        <s v="PRC"/>
      </sharedItems>
    </cacheField>
    <cacheField name="Year" numFmtId="0">
      <sharedItems containsSemiMixedTypes="0" containsString="0" containsNumber="1" containsInteger="1" minValue="2023" maxValue="2030" count="8">
        <n v="2023"/>
        <n v="2024"/>
        <n v="2025"/>
        <n v="2026"/>
        <n v="2027"/>
        <n v="2028"/>
        <n v="2029"/>
        <n v="2030"/>
      </sharedItems>
    </cacheField>
    <cacheField name="Technology" numFmtId="0">
      <sharedItems count="1">
        <s v="Ethernet Switch"/>
      </sharedItems>
    </cacheField>
    <cacheField name="Place in Network" numFmtId="0">
      <sharedItems count="2">
        <s v="Non-DC"/>
        <s v="Datacenter"/>
      </sharedItems>
    </cacheField>
    <cacheField name="Product" numFmtId="0">
      <sharedItems count="3">
        <s v="Fixed Managed"/>
        <s v="Modular"/>
        <s v="Fixed Unmanaged"/>
      </sharedItems>
    </cacheField>
    <cacheField name="Speed" numFmtId="0">
      <sharedItems count="9">
        <s v="100Mb"/>
        <s v="1000Mb"/>
        <s v="2.5Gb/5Gb"/>
        <s v="10Gb"/>
        <s v="25Gb/50Gb"/>
        <s v="40Gb"/>
        <s v="100Gb"/>
        <s v="200Gb/400Gb"/>
        <s v="800Gb"/>
      </sharedItems>
    </cacheField>
    <cacheField name="Ports" numFmtId="0">
      <sharedItems containsSemiMixedTypes="0" containsString="0" containsNumber="1" containsInteger="1" minValue="4" maxValue="209840807"/>
    </cacheField>
    <cacheField name="Vendor Revenue (CNY M)" numFmtId="0">
      <sharedItems containsSemiMixedTypes="0" containsString="0" containsNumber="1" minValue="3.4017609999999997E-2" maxValue="31742.876224539999"/>
    </cacheField>
    <cacheField name="Value (CNY M)" numFmtId="0">
      <sharedItems containsSemiMixedTypes="0" containsString="0" containsNumber="1" minValue="4.0480960000000003E-2" maxValue="37868.503611059998"/>
    </cacheField>
    <cacheField name="Vendor Revenue (USD M)" numFmtId="0">
      <sharedItems containsSemiMixedTypes="0" containsString="0" containsNumber="1" minValue="4.7302500000000001E-3" maxValue="4476.5778330100002"/>
    </cacheField>
    <cacheField name="Value (USD M)" numFmtId="0">
      <sharedItems containsSemiMixedTypes="0" containsString="0" containsNumber="1" minValue="5.6290000000000003E-3" maxValue="5340.4519059800004"/>
    </cacheField>
    <cacheField name="Publish Date" numFmtId="0">
      <sharedItems count="3">
        <s v="2025Q4"/>
        <s v="2025Q3" u="1"/>
        <s v="2025Q2"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104.648646064816" createdVersion="8" refreshedVersion="8" minRefreshableVersion="3" recordCount="149" xr:uid="{49D83C52-97DF-44A5-94FF-2A25F1B00EF1}">
  <cacheSource type="worksheet">
    <worksheetSource name="PDB"/>
  </cacheSource>
  <cacheFields count="11">
    <cacheField name="Country" numFmtId="0">
      <sharedItems containsBlank="1" count="2">
        <s v="PRC"/>
        <m u="1"/>
      </sharedItems>
    </cacheField>
    <cacheField name="Year" numFmtId="0">
      <sharedItems containsSemiMixedTypes="0" containsString="0" containsNumber="1" containsInteger="1" minValue="2023" maxValue="2030" count="8">
        <n v="2023"/>
        <n v="2024"/>
        <n v="2025"/>
        <n v="2026"/>
        <n v="2027"/>
        <n v="2028"/>
        <n v="2029"/>
        <n v="2030"/>
      </sharedItems>
    </cacheField>
    <cacheField name="Technology" numFmtId="0">
      <sharedItems containsBlank="1" count="2">
        <s v="Ethernet Switch"/>
        <m u="1"/>
      </sharedItems>
    </cacheField>
    <cacheField name="Product" numFmtId="0">
      <sharedItems containsBlank="1" count="4">
        <s v="Fixed Managed"/>
        <s v="Fixed Unmanaged"/>
        <s v="Modular"/>
        <m u="1"/>
      </sharedItems>
    </cacheField>
    <cacheField name="Speed" numFmtId="0">
      <sharedItems containsBlank="1" count="10">
        <s v="100Mb"/>
        <s v="1000Mb"/>
        <s v="2.5Gb/5Gb"/>
        <s v="10Gb"/>
        <s v="25Gb/50Gb"/>
        <s v="40Gb"/>
        <s v="100Gb"/>
        <s v="200Gb/400Gb"/>
        <s v="800Gb"/>
        <m u="1"/>
      </sharedItems>
    </cacheField>
    <cacheField name="Ports" numFmtId="0">
      <sharedItems containsSemiMixedTypes="0" containsString="0" containsNumber="1" containsInteger="1" minValue="4" maxValue="209840807"/>
    </cacheField>
    <cacheField name="Vendor Revenue (CNY M)" numFmtId="0">
      <sharedItems containsSemiMixedTypes="0" containsString="0" containsNumber="1" minValue="3.4017609999999997E-2" maxValue="31742.876224539999"/>
    </cacheField>
    <cacheField name="Value (CNY M)" numFmtId="0">
      <sharedItems containsSemiMixedTypes="0" containsString="0" containsNumber="1" minValue="4.0480960000000003E-2" maxValue="37868.503611059998"/>
    </cacheField>
    <cacheField name="Vendor Revenue (USD M)" numFmtId="0">
      <sharedItems containsSemiMixedTypes="0" containsString="0" containsNumber="1" minValue="4.7302500000000001E-3" maxValue="4476.5778330100002"/>
    </cacheField>
    <cacheField name="Value (USD M)" numFmtId="0">
      <sharedItems containsSemiMixedTypes="0" containsString="0" containsNumber="1" minValue="5.6290000000000003E-3" maxValue="5340.4519059800004"/>
    </cacheField>
    <cacheField name="Publish Date" numFmtId="0">
      <sharedItems count="2">
        <s v="2025Q4"/>
        <s v="2025Q3"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104.653979976851" createdVersion="8" refreshedVersion="8" minRefreshableVersion="3" recordCount="6" xr:uid="{8C49696F-5DAB-466B-99DD-56A935816D92}">
  <cacheSource type="worksheet">
    <worksheetSource name="EONDB"/>
  </cacheSource>
  <cacheFields count="6">
    <cacheField name="Country" numFmtId="0">
      <sharedItems count="1">
        <s v="PRC"/>
      </sharedItems>
    </cacheField>
    <cacheField name="Year" numFmtId="0">
      <sharedItems containsSemiMixedTypes="0" containsString="0" containsNumber="1" containsInteger="1" minValue="2025" maxValue="2030" count="6">
        <n v="2025"/>
        <n v="2026"/>
        <n v="2027"/>
        <n v="2028"/>
        <n v="2029"/>
        <n v="2030"/>
      </sharedItems>
    </cacheField>
    <cacheField name="Technology" numFmtId="0">
      <sharedItems count="1">
        <s v="Ethernet Optical Network"/>
      </sharedItems>
    </cacheField>
    <cacheField name="Vendor Revenue (CNY M)" numFmtId="0">
      <sharedItems containsSemiMixedTypes="0" containsString="0" containsNumber="1" minValue="507.69272925999996" maxValue="807.63774974"/>
    </cacheField>
    <cacheField name="Vendor Revenue (USD M)" numFmtId="0">
      <sharedItems containsSemiMixedTypes="0" containsString="0" containsNumber="1" minValue="70.896572631324119" maxValue="96.095465419999996"/>
    </cacheField>
    <cacheField name="Publish Date" numFmtId="0">
      <sharedItems containsBlank="1" count="4">
        <s v="2025Q4"/>
        <s v="2025Q3" u="1"/>
        <s v="2025Q2" u="1"/>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
  <r>
    <x v="0"/>
    <x v="0"/>
    <x v="0"/>
    <x v="0"/>
    <x v="0"/>
    <x v="0"/>
    <n v="10851586"/>
    <n v="167.33298884000018"/>
    <n v="203.77190082000001"/>
    <n v="23.727156549999993"/>
    <n v="28.896597610000008"/>
    <x v="0"/>
  </r>
  <r>
    <x v="0"/>
    <x v="0"/>
    <x v="0"/>
    <x v="0"/>
    <x v="1"/>
    <x v="0"/>
    <n v="847"/>
    <n v="0.15158940000000001"/>
    <n v="0.19109875999999998"/>
    <n v="2.182949E-2"/>
    <n v="2.7515689999999999E-2"/>
    <x v="0"/>
  </r>
  <r>
    <x v="0"/>
    <x v="0"/>
    <x v="0"/>
    <x v="0"/>
    <x v="2"/>
    <x v="0"/>
    <n v="23848009"/>
    <n v="119.24562974"/>
    <n v="145.68043438999999"/>
    <n v="16.812982550000001"/>
    <n v="20.543080670000002"/>
    <x v="0"/>
  </r>
  <r>
    <x v="0"/>
    <x v="0"/>
    <x v="0"/>
    <x v="1"/>
    <x v="0"/>
    <x v="1"/>
    <n v="1804837"/>
    <n v="174.41480662999993"/>
    <n v="216.09307483000003"/>
    <n v="24.55187827"/>
    <n v="30.42052095"/>
    <x v="0"/>
  </r>
  <r>
    <x v="0"/>
    <x v="0"/>
    <x v="0"/>
    <x v="0"/>
    <x v="0"/>
    <x v="1"/>
    <n v="197105298"/>
    <n v="10199.365133850002"/>
    <n v="12313.042689079995"/>
    <n v="1436.7821218399999"/>
    <n v="1734.5679008500015"/>
    <x v="0"/>
  </r>
  <r>
    <x v="0"/>
    <x v="0"/>
    <x v="0"/>
    <x v="1"/>
    <x v="1"/>
    <x v="1"/>
    <n v="6499"/>
    <n v="3.3036758099999997"/>
    <n v="4.1162673899999991"/>
    <n v="0.46786721000000014"/>
    <n v="0.58315331999999998"/>
    <x v="0"/>
  </r>
  <r>
    <x v="0"/>
    <x v="0"/>
    <x v="0"/>
    <x v="0"/>
    <x v="1"/>
    <x v="1"/>
    <n v="4976470"/>
    <n v="1299.6313132800005"/>
    <n v="1561.2069075500003"/>
    <n v="183.43607863999998"/>
    <n v="220.36911069999991"/>
    <x v="0"/>
  </r>
  <r>
    <x v="0"/>
    <x v="0"/>
    <x v="0"/>
    <x v="0"/>
    <x v="2"/>
    <x v="1"/>
    <n v="27275134"/>
    <n v="345.88194091000003"/>
    <n v="420.07502184000015"/>
    <n v="48.85136232"/>
    <n v="59.336971480000003"/>
    <x v="0"/>
  </r>
  <r>
    <x v="0"/>
    <x v="0"/>
    <x v="0"/>
    <x v="0"/>
    <x v="0"/>
    <x v="2"/>
    <n v="1897145"/>
    <n v="364.32355223000019"/>
    <n v="439.45413682000003"/>
    <n v="50.981849790000005"/>
    <n v="61.496882980000002"/>
    <x v="0"/>
  </r>
  <r>
    <x v="0"/>
    <x v="0"/>
    <x v="0"/>
    <x v="0"/>
    <x v="1"/>
    <x v="2"/>
    <n v="61646"/>
    <n v="10.524213100000001"/>
    <n v="12.73429784"/>
    <n v="1.4601894"/>
    <n v="1.7668291700000001"/>
    <x v="0"/>
  </r>
  <r>
    <x v="0"/>
    <x v="0"/>
    <x v="0"/>
    <x v="1"/>
    <x v="0"/>
    <x v="3"/>
    <n v="6147573"/>
    <n v="2074.2375058900002"/>
    <n v="2499.7370299699992"/>
    <n v="292.77994803000001"/>
    <n v="352.83720886999998"/>
    <x v="0"/>
  </r>
  <r>
    <x v="0"/>
    <x v="0"/>
    <x v="0"/>
    <x v="0"/>
    <x v="0"/>
    <x v="3"/>
    <n v="14832870"/>
    <n v="5016.5981462100008"/>
    <n v="6035.122060990001"/>
    <n v="704.62027236000029"/>
    <n v="847.68765979999978"/>
    <x v="0"/>
  </r>
  <r>
    <x v="0"/>
    <x v="0"/>
    <x v="0"/>
    <x v="1"/>
    <x v="1"/>
    <x v="3"/>
    <n v="890492"/>
    <n v="1194.3823176999999"/>
    <n v="1436.1942996600001"/>
    <n v="168.22973621999995"/>
    <n v="202.28754369000001"/>
    <x v="0"/>
  </r>
  <r>
    <x v="0"/>
    <x v="0"/>
    <x v="0"/>
    <x v="0"/>
    <x v="1"/>
    <x v="3"/>
    <n v="2896635"/>
    <n v="2218.2761350499995"/>
    <n v="2667.0672318100005"/>
    <n v="312.64230315000009"/>
    <n v="375.89982868000004"/>
    <x v="0"/>
  </r>
  <r>
    <x v="0"/>
    <x v="0"/>
    <x v="0"/>
    <x v="1"/>
    <x v="0"/>
    <x v="4"/>
    <n v="5823200"/>
    <n v="3107.1131412499994"/>
    <n v="3742.0461211700012"/>
    <n v="438.31911011000005"/>
    <n v="527.87093238999989"/>
    <x v="0"/>
  </r>
  <r>
    <x v="0"/>
    <x v="0"/>
    <x v="0"/>
    <x v="0"/>
    <x v="0"/>
    <x v="4"/>
    <n v="201230"/>
    <n v="77.223107539999972"/>
    <n v="92.397669869999973"/>
    <n v="10.846665880000003"/>
    <n v="12.978655000000002"/>
    <x v="0"/>
  </r>
  <r>
    <x v="0"/>
    <x v="0"/>
    <x v="0"/>
    <x v="1"/>
    <x v="1"/>
    <x v="4"/>
    <n v="18688"/>
    <n v="32.547272019999994"/>
    <n v="40.241161240000004"/>
    <n v="4.5773342399999999"/>
    <n v="5.6601527100000002"/>
    <x v="0"/>
  </r>
  <r>
    <x v="0"/>
    <x v="0"/>
    <x v="0"/>
    <x v="0"/>
    <x v="1"/>
    <x v="4"/>
    <n v="20456"/>
    <n v="32.854489019999995"/>
    <n v="39.567705130000007"/>
    <n v="4.6401748899999999"/>
    <n v="5.5882343800000003"/>
    <x v="0"/>
  </r>
  <r>
    <x v="0"/>
    <x v="0"/>
    <x v="0"/>
    <x v="1"/>
    <x v="0"/>
    <x v="5"/>
    <n v="347646"/>
    <n v="212.80052374000005"/>
    <n v="261.77154713000004"/>
    <n v="30.155273159999993"/>
    <n v="37.095030139999977"/>
    <x v="0"/>
  </r>
  <r>
    <x v="0"/>
    <x v="0"/>
    <x v="0"/>
    <x v="0"/>
    <x v="0"/>
    <x v="5"/>
    <n v="356137"/>
    <n v="291.23353406999991"/>
    <n v="352.43872656999997"/>
    <n v="41.131599000000001"/>
    <n v="49.776786860000016"/>
    <x v="0"/>
  </r>
  <r>
    <x v="0"/>
    <x v="0"/>
    <x v="0"/>
    <x v="1"/>
    <x v="1"/>
    <x v="5"/>
    <n v="442313"/>
    <n v="720.71670096000014"/>
    <n v="867.50948004000031"/>
    <n v="101.71637844"/>
    <n v="122.42828548999999"/>
    <x v="0"/>
  </r>
  <r>
    <x v="0"/>
    <x v="0"/>
    <x v="0"/>
    <x v="0"/>
    <x v="1"/>
    <x v="5"/>
    <n v="196431"/>
    <n v="272.98857017"/>
    <n v="326.30127273000005"/>
    <n v="38.459540589999996"/>
    <n v="45.970761580000001"/>
    <x v="0"/>
  </r>
  <r>
    <x v="0"/>
    <x v="0"/>
    <x v="0"/>
    <x v="1"/>
    <x v="0"/>
    <x v="6"/>
    <n v="4226035"/>
    <n v="5081.4351587499996"/>
    <n v="6100.8955475099974"/>
    <n v="718.0764842100001"/>
    <n v="862.11639840999953"/>
    <x v="0"/>
  </r>
  <r>
    <x v="0"/>
    <x v="0"/>
    <x v="0"/>
    <x v="0"/>
    <x v="0"/>
    <x v="6"/>
    <n v="346289"/>
    <n v="486.01097593999992"/>
    <n v="592.01308664999999"/>
    <n v="68.305828090000006"/>
    <n v="83.213045950000009"/>
    <x v="0"/>
  </r>
  <r>
    <x v="0"/>
    <x v="0"/>
    <x v="0"/>
    <x v="1"/>
    <x v="1"/>
    <x v="6"/>
    <n v="940162"/>
    <n v="2373.7841638000004"/>
    <n v="2859.2048623599999"/>
    <n v="335.94315444"/>
    <n v="404.64288222999988"/>
    <x v="0"/>
  </r>
  <r>
    <x v="0"/>
    <x v="0"/>
    <x v="0"/>
    <x v="0"/>
    <x v="1"/>
    <x v="6"/>
    <n v="67527"/>
    <n v="204.98195459000002"/>
    <n v="246.05047019999998"/>
    <n v="28.822758129999997"/>
    <n v="34.596163589999996"/>
    <x v="0"/>
  </r>
  <r>
    <x v="0"/>
    <x v="0"/>
    <x v="0"/>
    <x v="1"/>
    <x v="0"/>
    <x v="7"/>
    <n v="2350004"/>
    <n v="2644.5431698299994"/>
    <n v="3133.5831084599999"/>
    <n v="371.39148761000001"/>
    <n v="440.06727454999998"/>
    <x v="0"/>
  </r>
  <r>
    <x v="0"/>
    <x v="0"/>
    <x v="0"/>
    <x v="1"/>
    <x v="1"/>
    <x v="7"/>
    <n v="137210"/>
    <n v="680.28417735000005"/>
    <n v="824.42614239"/>
    <n v="95.326445539999995"/>
    <n v="115.52887224"/>
    <x v="0"/>
  </r>
  <r>
    <x v="0"/>
    <x v="1"/>
    <x v="0"/>
    <x v="0"/>
    <x v="0"/>
    <x v="0"/>
    <n v="7902595"/>
    <n v="97.727782210000001"/>
    <n v="119.55880147000001"/>
    <n v="13.59044995"/>
    <n v="16.62667845"/>
    <x v="0"/>
  </r>
  <r>
    <x v="0"/>
    <x v="1"/>
    <x v="0"/>
    <x v="0"/>
    <x v="1"/>
    <x v="0"/>
    <n v="357"/>
    <n v="3.5558939999999997E-2"/>
    <n v="4.6226620000000003E-2"/>
    <n v="4.9510999999999999E-3"/>
    <n v="6.4364299999999999E-3"/>
    <x v="0"/>
  </r>
  <r>
    <x v="0"/>
    <x v="1"/>
    <x v="0"/>
    <x v="0"/>
    <x v="2"/>
    <x v="0"/>
    <n v="14136854"/>
    <n v="87.743112109999998"/>
    <n v="107.31355978000001"/>
    <n v="12.2006072"/>
    <n v="14.92174822"/>
    <x v="0"/>
  </r>
  <r>
    <x v="0"/>
    <x v="1"/>
    <x v="0"/>
    <x v="1"/>
    <x v="0"/>
    <x v="1"/>
    <n v="1919752"/>
    <n v="191.85840109"/>
    <n v="234.99424579999999"/>
    <n v="26.688093330000001"/>
    <n v="32.687984790000002"/>
    <x v="0"/>
  </r>
  <r>
    <x v="0"/>
    <x v="1"/>
    <x v="0"/>
    <x v="0"/>
    <x v="0"/>
    <x v="1"/>
    <n v="209840807"/>
    <n v="9344.7804041799991"/>
    <n v="11279.9098545"/>
    <n v="1299.90955136"/>
    <n v="1569.0921930300001"/>
    <x v="0"/>
  </r>
  <r>
    <x v="0"/>
    <x v="1"/>
    <x v="0"/>
    <x v="1"/>
    <x v="1"/>
    <x v="1"/>
    <n v="3891"/>
    <n v="2.44360767"/>
    <n v="3.1683905399999999"/>
    <n v="0.33912110000000001"/>
    <n v="0.43970380999999997"/>
    <x v="0"/>
  </r>
  <r>
    <x v="0"/>
    <x v="1"/>
    <x v="0"/>
    <x v="0"/>
    <x v="1"/>
    <x v="1"/>
    <n v="4801672"/>
    <n v="1132.0530692"/>
    <n v="1358.3766335099999"/>
    <n v="157.43274006999999"/>
    <n v="188.90856399"/>
    <x v="0"/>
  </r>
  <r>
    <x v="0"/>
    <x v="1"/>
    <x v="0"/>
    <x v="0"/>
    <x v="2"/>
    <x v="1"/>
    <n v="18070080"/>
    <n v="287.08932728000002"/>
    <n v="350.41619231999999"/>
    <n v="39.898696119999997"/>
    <n v="48.699686630000002"/>
    <x v="0"/>
  </r>
  <r>
    <x v="0"/>
    <x v="1"/>
    <x v="0"/>
    <x v="0"/>
    <x v="0"/>
    <x v="2"/>
    <n v="2817881"/>
    <n v="465.16581987000001"/>
    <n v="560.76662873999999"/>
    <n v="64.646141110000002"/>
    <n v="77.931717399999997"/>
    <x v="0"/>
  </r>
  <r>
    <x v="0"/>
    <x v="1"/>
    <x v="0"/>
    <x v="0"/>
    <x v="1"/>
    <x v="2"/>
    <n v="90453"/>
    <n v="24.848116749999999"/>
    <n v="30.06622127"/>
    <n v="3.4555899299999999"/>
    <n v="4.1812638199999999"/>
    <x v="0"/>
  </r>
  <r>
    <x v="0"/>
    <x v="1"/>
    <x v="0"/>
    <x v="1"/>
    <x v="0"/>
    <x v="3"/>
    <n v="4630580"/>
    <n v="1658.0638059299999"/>
    <n v="1998.22796651"/>
    <n v="230.63707939"/>
    <n v="277.95358618"/>
    <x v="0"/>
  </r>
  <r>
    <x v="0"/>
    <x v="1"/>
    <x v="0"/>
    <x v="0"/>
    <x v="0"/>
    <x v="3"/>
    <n v="15445736"/>
    <n v="4120.9612069900004"/>
    <n v="4952.4074215399996"/>
    <n v="573.15329742999995"/>
    <n v="688.79264333000003"/>
    <x v="0"/>
  </r>
  <r>
    <x v="0"/>
    <x v="1"/>
    <x v="0"/>
    <x v="1"/>
    <x v="1"/>
    <x v="3"/>
    <n v="625926"/>
    <n v="1088.1881405300001"/>
    <n v="1311.59773451"/>
    <n v="151.22880305000001"/>
    <n v="182.27687177000001"/>
    <x v="0"/>
  </r>
  <r>
    <x v="0"/>
    <x v="1"/>
    <x v="0"/>
    <x v="0"/>
    <x v="1"/>
    <x v="3"/>
    <n v="3323722"/>
    <n v="2290.4330850400002"/>
    <n v="2753.5583144799998"/>
    <n v="318.50974456"/>
    <n v="382.91294833000001"/>
    <x v="0"/>
  </r>
  <r>
    <x v="0"/>
    <x v="1"/>
    <x v="0"/>
    <x v="1"/>
    <x v="0"/>
    <x v="4"/>
    <n v="4615698"/>
    <n v="2871.2716264000001"/>
    <n v="3462.8395477499998"/>
    <n v="399.40397459000002"/>
    <n v="481.69464820000002"/>
    <x v="0"/>
  </r>
  <r>
    <x v="0"/>
    <x v="1"/>
    <x v="0"/>
    <x v="0"/>
    <x v="0"/>
    <x v="4"/>
    <n v="247725"/>
    <n v="82.128408230000005"/>
    <n v="98.282134319999997"/>
    <n v="11.42716414"/>
    <n v="13.67472237"/>
    <x v="0"/>
  </r>
  <r>
    <x v="0"/>
    <x v="1"/>
    <x v="0"/>
    <x v="1"/>
    <x v="1"/>
    <x v="4"/>
    <n v="16610"/>
    <n v="19.379328940000001"/>
    <n v="23.989103119999999"/>
    <n v="2.69356697"/>
    <n v="3.3342859800000002"/>
    <x v="0"/>
  </r>
  <r>
    <x v="0"/>
    <x v="1"/>
    <x v="0"/>
    <x v="0"/>
    <x v="1"/>
    <x v="4"/>
    <n v="20945"/>
    <n v="28.961128689999999"/>
    <n v="34.815328000000001"/>
    <n v="4.0234032500000003"/>
    <n v="4.8366542600000004"/>
    <x v="0"/>
  </r>
  <r>
    <x v="0"/>
    <x v="1"/>
    <x v="0"/>
    <x v="1"/>
    <x v="0"/>
    <x v="5"/>
    <n v="200041"/>
    <n v="106.60450016"/>
    <n v="132.85091369"/>
    <n v="14.83868391"/>
    <n v="18.492082719999999"/>
    <x v="0"/>
  </r>
  <r>
    <x v="0"/>
    <x v="1"/>
    <x v="0"/>
    <x v="0"/>
    <x v="0"/>
    <x v="5"/>
    <n v="384606"/>
    <n v="216.66717496000001"/>
    <n v="262.50546575999999"/>
    <n v="30.13179388"/>
    <n v="36.507001000000002"/>
    <x v="0"/>
  </r>
  <r>
    <x v="0"/>
    <x v="1"/>
    <x v="0"/>
    <x v="1"/>
    <x v="1"/>
    <x v="5"/>
    <n v="260147"/>
    <n v="376.23126228000001"/>
    <n v="453.33051224000002"/>
    <n v="52.292131419999997"/>
    <n v="63.008983579999999"/>
    <x v="0"/>
  </r>
  <r>
    <x v="0"/>
    <x v="1"/>
    <x v="0"/>
    <x v="0"/>
    <x v="1"/>
    <x v="5"/>
    <n v="210650"/>
    <n v="265.60959635"/>
    <n v="318.03731837999999"/>
    <n v="36.940647980000001"/>
    <n v="44.232303700000003"/>
    <x v="0"/>
  </r>
  <r>
    <x v="0"/>
    <x v="1"/>
    <x v="0"/>
    <x v="1"/>
    <x v="0"/>
    <x v="6"/>
    <n v="4557553"/>
    <n v="4846.2009444699997"/>
    <n v="5819.3303416700001"/>
    <n v="673.89599426999996"/>
    <n v="809.21792029000005"/>
    <x v="0"/>
  </r>
  <r>
    <x v="0"/>
    <x v="1"/>
    <x v="0"/>
    <x v="0"/>
    <x v="0"/>
    <x v="6"/>
    <n v="445552"/>
    <n v="426.31286030000001"/>
    <n v="522.72550387000001"/>
    <n v="59.301796029999998"/>
    <n v="72.713742980000006"/>
    <x v="0"/>
  </r>
  <r>
    <x v="0"/>
    <x v="1"/>
    <x v="0"/>
    <x v="1"/>
    <x v="1"/>
    <x v="6"/>
    <n v="1060841"/>
    <n v="3687.57309433"/>
    <n v="4448.4202409299996"/>
    <n v="512.37770470999999"/>
    <n v="618.09470836000003"/>
    <x v="0"/>
  </r>
  <r>
    <x v="0"/>
    <x v="1"/>
    <x v="0"/>
    <x v="0"/>
    <x v="1"/>
    <x v="6"/>
    <n v="75281"/>
    <n v="293.93672509999999"/>
    <n v="352.73415287"/>
    <n v="40.899211340000001"/>
    <n v="49.080640019999997"/>
    <x v="0"/>
  </r>
  <r>
    <x v="0"/>
    <x v="1"/>
    <x v="0"/>
    <x v="1"/>
    <x v="0"/>
    <x v="7"/>
    <n v="6366228"/>
    <n v="5808.0059737299998"/>
    <n v="6917.4466709300004"/>
    <n v="807.93960721999997"/>
    <n v="962.26526028000001"/>
    <x v="0"/>
  </r>
  <r>
    <x v="0"/>
    <x v="1"/>
    <x v="0"/>
    <x v="1"/>
    <x v="1"/>
    <x v="7"/>
    <n v="263043"/>
    <n v="1904.94145757"/>
    <n v="2307.27366454"/>
    <n v="264.48490268"/>
    <n v="320.34811065999997"/>
    <x v="0"/>
  </r>
  <r>
    <x v="0"/>
    <x v="1"/>
    <x v="0"/>
    <x v="0"/>
    <x v="1"/>
    <x v="7"/>
    <n v="4"/>
    <n v="3.4017609999999997E-2"/>
    <n v="4.0480960000000003E-2"/>
    <n v="4.7302500000000001E-3"/>
    <n v="5.6290000000000003E-3"/>
    <x v="0"/>
  </r>
  <r>
    <x v="0"/>
    <x v="2"/>
    <x v="0"/>
    <x v="1"/>
    <x v="0"/>
    <x v="1"/>
    <n v="2964681"/>
    <n v="276.45633142999998"/>
    <n v="335.86295375999998"/>
    <n v="38.484829949999998"/>
    <n v="46.75598402"/>
    <x v="0"/>
  </r>
  <r>
    <x v="0"/>
    <x v="2"/>
    <x v="0"/>
    <x v="1"/>
    <x v="0"/>
    <x v="6"/>
    <n v="5894782"/>
    <n v="4990.16623153"/>
    <n v="5990.1252273399996"/>
    <n v="694.81044866000002"/>
    <n v="834.03043186000002"/>
    <x v="0"/>
  </r>
  <r>
    <x v="0"/>
    <x v="2"/>
    <x v="0"/>
    <x v="1"/>
    <x v="0"/>
    <x v="3"/>
    <n v="4022792"/>
    <n v="1577.01510773"/>
    <n v="1900.74796844"/>
    <n v="219.62844964999999"/>
    <n v="264.71766932000003"/>
    <x v="0"/>
  </r>
  <r>
    <x v="0"/>
    <x v="2"/>
    <x v="0"/>
    <x v="1"/>
    <x v="0"/>
    <x v="7"/>
    <n v="13042976"/>
    <n v="12904.38931946"/>
    <n v="15397.143307099999"/>
    <n v="1797.2832975599999"/>
    <n v="2144.4765642399998"/>
    <x v="0"/>
  </r>
  <r>
    <x v="0"/>
    <x v="2"/>
    <x v="0"/>
    <x v="1"/>
    <x v="0"/>
    <x v="4"/>
    <n v="5901367"/>
    <n v="2879.9530821799999"/>
    <n v="3474.7075015800001"/>
    <n v="401.19280044999999"/>
    <n v="484.04827519999998"/>
    <x v="0"/>
  </r>
  <r>
    <x v="0"/>
    <x v="2"/>
    <x v="0"/>
    <x v="1"/>
    <x v="0"/>
    <x v="5"/>
    <n v="167118"/>
    <n v="74.395287300000007"/>
    <n v="93.136731819999994"/>
    <n v="10.34192326"/>
    <n v="12.94752194"/>
    <x v="0"/>
  </r>
  <r>
    <x v="0"/>
    <x v="2"/>
    <x v="0"/>
    <x v="1"/>
    <x v="0"/>
    <x v="8"/>
    <n v="899996"/>
    <n v="2006.9266749400001"/>
    <n v="2381.2277703700001"/>
    <n v="281.49622390000002"/>
    <n v="333.99724601000003"/>
    <x v="0"/>
  </r>
  <r>
    <x v="0"/>
    <x v="2"/>
    <x v="0"/>
    <x v="1"/>
    <x v="1"/>
    <x v="1"/>
    <n v="38459"/>
    <n v="79.399542479999994"/>
    <n v="96.119332639999996"/>
    <n v="11.075651540000001"/>
    <n v="13.4079155"/>
    <x v="0"/>
  </r>
  <r>
    <x v="0"/>
    <x v="2"/>
    <x v="0"/>
    <x v="1"/>
    <x v="1"/>
    <x v="6"/>
    <n v="1011350"/>
    <n v="3360.6079504600002"/>
    <n v="4042.97855785"/>
    <n v="467.86215721000002"/>
    <n v="562.85970454999995"/>
    <x v="0"/>
  </r>
  <r>
    <x v="0"/>
    <x v="2"/>
    <x v="0"/>
    <x v="1"/>
    <x v="1"/>
    <x v="3"/>
    <n v="413602"/>
    <n v="417.88971268"/>
    <n v="500.69051564"/>
    <n v="58.24885879"/>
    <n v="69.791448439999996"/>
    <x v="0"/>
  </r>
  <r>
    <x v="0"/>
    <x v="2"/>
    <x v="0"/>
    <x v="1"/>
    <x v="1"/>
    <x v="7"/>
    <n v="270396"/>
    <n v="1706.6601359900001"/>
    <n v="2064.9009372800001"/>
    <n v="238.20712553000001"/>
    <n v="288.19629742000001"/>
    <x v="0"/>
  </r>
  <r>
    <x v="0"/>
    <x v="2"/>
    <x v="0"/>
    <x v="1"/>
    <x v="1"/>
    <x v="4"/>
    <n v="20092"/>
    <n v="21.594699349999999"/>
    <n v="25.995904549999999"/>
    <n v="3.0069282500000001"/>
    <n v="3.6196549600000001"/>
    <x v="0"/>
  </r>
  <r>
    <x v="0"/>
    <x v="2"/>
    <x v="0"/>
    <x v="1"/>
    <x v="1"/>
    <x v="5"/>
    <n v="292759"/>
    <n v="704.98975015999997"/>
    <n v="852.52368267999998"/>
    <n v="98.642312129999993"/>
    <n v="119.28542520000001"/>
    <x v="0"/>
  </r>
  <r>
    <x v="0"/>
    <x v="2"/>
    <x v="0"/>
    <x v="1"/>
    <x v="1"/>
    <x v="8"/>
    <n v="2942"/>
    <n v="13.83767359"/>
    <n v="14.20924619"/>
    <n v="1.9359824400000001"/>
    <n v="1.98838392"/>
    <x v="0"/>
  </r>
  <r>
    <x v="0"/>
    <x v="2"/>
    <x v="0"/>
    <x v="0"/>
    <x v="0"/>
    <x v="1"/>
    <n v="197508731"/>
    <n v="8268.2975412899996"/>
    <n v="9990.15483055"/>
    <n v="1152.0413974099999"/>
    <n v="1391.9400990300001"/>
    <x v="0"/>
  </r>
  <r>
    <x v="0"/>
    <x v="2"/>
    <x v="0"/>
    <x v="0"/>
    <x v="0"/>
    <x v="6"/>
    <n v="794758"/>
    <n v="592.09010540999998"/>
    <n v="728.60153503000004"/>
    <n v="82.456340969999999"/>
    <n v="101.4571092"/>
    <x v="0"/>
  </r>
  <r>
    <x v="0"/>
    <x v="2"/>
    <x v="0"/>
    <x v="0"/>
    <x v="0"/>
    <x v="0"/>
    <n v="8170287"/>
    <n v="139.09772831000001"/>
    <n v="170.76176340999999"/>
    <n v="19.339662919999999"/>
    <n v="23.743479570000002"/>
    <x v="0"/>
  </r>
  <r>
    <x v="0"/>
    <x v="2"/>
    <x v="0"/>
    <x v="0"/>
    <x v="0"/>
    <x v="3"/>
    <n v="16702149"/>
    <n v="3883.07903412"/>
    <n v="4671.7267180999997"/>
    <n v="541.40327979000006"/>
    <n v="651.35927946000004"/>
    <x v="0"/>
  </r>
  <r>
    <x v="0"/>
    <x v="2"/>
    <x v="0"/>
    <x v="0"/>
    <x v="0"/>
    <x v="4"/>
    <n v="369396"/>
    <n v="99.786253590000001"/>
    <n v="119.61535754000001"/>
    <n v="13.90010448"/>
    <n v="16.661988650000001"/>
    <x v="0"/>
  </r>
  <r>
    <x v="0"/>
    <x v="2"/>
    <x v="0"/>
    <x v="0"/>
    <x v="0"/>
    <x v="2"/>
    <n v="4413696"/>
    <n v="596.88198291000003"/>
    <n v="720.46171256000002"/>
    <n v="83.388070830000004"/>
    <n v="100.65274515999999"/>
    <x v="0"/>
  </r>
  <r>
    <x v="0"/>
    <x v="2"/>
    <x v="0"/>
    <x v="0"/>
    <x v="0"/>
    <x v="5"/>
    <n v="468537"/>
    <n v="236.33483681000001"/>
    <n v="287.46820464000001"/>
    <n v="32.923584630000001"/>
    <n v="40.045634040000003"/>
    <x v="0"/>
  </r>
  <r>
    <x v="0"/>
    <x v="2"/>
    <x v="0"/>
    <x v="0"/>
    <x v="2"/>
    <x v="1"/>
    <n v="35058471"/>
    <n v="476.58289667999998"/>
    <n v="573.28073441000004"/>
    <n v="66.277921500000005"/>
    <n v="79.723764009999996"/>
    <x v="0"/>
  </r>
  <r>
    <x v="0"/>
    <x v="2"/>
    <x v="0"/>
    <x v="0"/>
    <x v="2"/>
    <x v="0"/>
    <n v="25808719"/>
    <n v="199.47517139999999"/>
    <n v="238.50903414999999"/>
    <n v="27.742676119999999"/>
    <n v="33.170130720000003"/>
    <x v="0"/>
  </r>
  <r>
    <x v="0"/>
    <x v="2"/>
    <x v="0"/>
    <x v="0"/>
    <x v="1"/>
    <x v="1"/>
    <n v="4841719"/>
    <n v="1148.1381820399999"/>
    <n v="1380.23216458"/>
    <n v="159.86576529000001"/>
    <n v="192.17906047"/>
    <x v="0"/>
  </r>
  <r>
    <x v="0"/>
    <x v="2"/>
    <x v="0"/>
    <x v="0"/>
    <x v="1"/>
    <x v="6"/>
    <n v="66895"/>
    <n v="181.9728562"/>
    <n v="218.0774936"/>
    <n v="25.343445259999999"/>
    <n v="30.371590990000001"/>
    <x v="0"/>
  </r>
  <r>
    <x v="0"/>
    <x v="2"/>
    <x v="0"/>
    <x v="0"/>
    <x v="1"/>
    <x v="3"/>
    <n v="3097851"/>
    <n v="2290.9766533299999"/>
    <n v="2762.22357152"/>
    <n v="319.34138151000002"/>
    <n v="385.03051534000002"/>
    <x v="0"/>
  </r>
  <r>
    <x v="0"/>
    <x v="2"/>
    <x v="0"/>
    <x v="0"/>
    <x v="1"/>
    <x v="4"/>
    <n v="59856"/>
    <n v="62.089925430000001"/>
    <n v="74.919758540000004"/>
    <n v="8.6421270900000007"/>
    <n v="10.427838149999999"/>
    <x v="0"/>
  </r>
  <r>
    <x v="0"/>
    <x v="2"/>
    <x v="0"/>
    <x v="0"/>
    <x v="1"/>
    <x v="2"/>
    <n v="185625"/>
    <n v="103.95770899"/>
    <n v="125.78075459999999"/>
    <n v="14.547336319999999"/>
    <n v="17.601144949999998"/>
    <x v="0"/>
  </r>
  <r>
    <x v="0"/>
    <x v="2"/>
    <x v="0"/>
    <x v="0"/>
    <x v="1"/>
    <x v="5"/>
    <n v="188125"/>
    <n v="202.65598302999999"/>
    <n v="243.25336597"/>
    <n v="28.279107750000001"/>
    <n v="33.943266360000003"/>
    <x v="0"/>
  </r>
  <r>
    <x v="0"/>
    <x v="3"/>
    <x v="0"/>
    <x v="1"/>
    <x v="0"/>
    <x v="1"/>
    <n v="4460560"/>
    <n v="302.51192928"/>
    <n v="366.76135791000002"/>
    <n v="42.662113769999998"/>
    <n v="51.722967799999999"/>
    <x v="0"/>
  </r>
  <r>
    <x v="0"/>
    <x v="3"/>
    <x v="0"/>
    <x v="1"/>
    <x v="0"/>
    <x v="6"/>
    <n v="5430741"/>
    <n v="5181.6562007100001"/>
    <n v="6227.0078229000001"/>
    <n v="730.74938523000003"/>
    <n v="878.17137264999997"/>
    <x v="0"/>
  </r>
  <r>
    <x v="0"/>
    <x v="3"/>
    <x v="0"/>
    <x v="1"/>
    <x v="0"/>
    <x v="3"/>
    <n v="3151319"/>
    <n v="964.42218218000005"/>
    <n v="1162.0988280900001"/>
    <n v="136.00881444999999"/>
    <n v="163.88640452000001"/>
    <x v="0"/>
  </r>
  <r>
    <x v="0"/>
    <x v="3"/>
    <x v="0"/>
    <x v="1"/>
    <x v="0"/>
    <x v="7"/>
    <n v="24154006"/>
    <n v="20004.269512319999"/>
    <n v="23864.622314159998"/>
    <n v="2821.1265050799998"/>
    <n v="3365.5374670199999"/>
    <x v="0"/>
  </r>
  <r>
    <x v="0"/>
    <x v="3"/>
    <x v="0"/>
    <x v="1"/>
    <x v="0"/>
    <x v="4"/>
    <n v="5333694"/>
    <n v="2947.4188414"/>
    <n v="3552.6436690800001"/>
    <n v="415.66333675999999"/>
    <n v="501.01590621999998"/>
    <x v="0"/>
  </r>
  <r>
    <x v="0"/>
    <x v="3"/>
    <x v="0"/>
    <x v="1"/>
    <x v="0"/>
    <x v="5"/>
    <n v="85798"/>
    <n v="32.306942149999998"/>
    <n v="40.253118800000003"/>
    <n v="4.5561259200000004"/>
    <n v="5.6767451700000002"/>
    <x v="0"/>
  </r>
  <r>
    <x v="0"/>
    <x v="3"/>
    <x v="0"/>
    <x v="1"/>
    <x v="0"/>
    <x v="8"/>
    <n v="1624941"/>
    <n v="3275.14308811"/>
    <n v="3897.4202748600001"/>
    <n v="461.88104835000001"/>
    <n v="549.63844753000001"/>
    <x v="0"/>
  </r>
  <r>
    <x v="0"/>
    <x v="3"/>
    <x v="0"/>
    <x v="1"/>
    <x v="1"/>
    <x v="1"/>
    <n v="44546"/>
    <n v="13.13354938"/>
    <n v="15.901176080000001"/>
    <n v="1.8521748200000001"/>
    <n v="2.2424827500000002"/>
    <x v="0"/>
  </r>
  <r>
    <x v="0"/>
    <x v="3"/>
    <x v="0"/>
    <x v="1"/>
    <x v="1"/>
    <x v="6"/>
    <n v="2782211"/>
    <n v="4071.1812856400002"/>
    <n v="4902.1103738299998"/>
    <n v="574.14330600000005"/>
    <n v="691.32609405999995"/>
    <x v="0"/>
  </r>
  <r>
    <x v="0"/>
    <x v="3"/>
    <x v="0"/>
    <x v="1"/>
    <x v="1"/>
    <x v="3"/>
    <n v="84584"/>
    <n v="114.73521286"/>
    <n v="137.34083835999999"/>
    <n v="16.18067332"/>
    <n v="19.368659229999999"/>
    <x v="0"/>
  </r>
  <r>
    <x v="0"/>
    <x v="3"/>
    <x v="0"/>
    <x v="1"/>
    <x v="1"/>
    <x v="7"/>
    <n v="838593"/>
    <n v="2185.17933154"/>
    <n v="2654.3540749499998"/>
    <n v="308.16758026000002"/>
    <n v="374.33352065999998"/>
    <x v="0"/>
  </r>
  <r>
    <x v="0"/>
    <x v="3"/>
    <x v="0"/>
    <x v="1"/>
    <x v="1"/>
    <x v="4"/>
    <n v="11367"/>
    <n v="18.727996940000001"/>
    <n v="22.57269136"/>
    <n v="2.6411386100000001"/>
    <n v="3.1833413300000002"/>
    <x v="0"/>
  </r>
  <r>
    <x v="0"/>
    <x v="3"/>
    <x v="0"/>
    <x v="1"/>
    <x v="1"/>
    <x v="5"/>
    <n v="165692"/>
    <n v="220.51138017"/>
    <n v="266.74017207000003"/>
    <n v="31.097886320000001"/>
    <n v="37.617358080000002"/>
    <x v="0"/>
  </r>
  <r>
    <x v="0"/>
    <x v="3"/>
    <x v="0"/>
    <x v="1"/>
    <x v="1"/>
    <x v="8"/>
    <n v="42410"/>
    <n v="212.72082574999999"/>
    <n v="212.72082574999999"/>
    <n v="29.999213879999999"/>
    <n v="29.999213879999999"/>
    <x v="0"/>
  </r>
  <r>
    <x v="0"/>
    <x v="3"/>
    <x v="0"/>
    <x v="0"/>
    <x v="0"/>
    <x v="1"/>
    <n v="184120620"/>
    <n v="7447.8725333800003"/>
    <n v="9000.4474396099995"/>
    <n v="1050.34530741"/>
    <n v="1269.2990770700001"/>
    <x v="0"/>
  </r>
  <r>
    <x v="0"/>
    <x v="3"/>
    <x v="0"/>
    <x v="0"/>
    <x v="0"/>
    <x v="6"/>
    <n v="1013399"/>
    <n v="872.82530014999998"/>
    <n v="1081.59352029"/>
    <n v="123.09125245"/>
    <n v="152.5330453"/>
    <x v="0"/>
  </r>
  <r>
    <x v="0"/>
    <x v="3"/>
    <x v="0"/>
    <x v="0"/>
    <x v="0"/>
    <x v="0"/>
    <n v="7428152"/>
    <n v="91.992403420000002"/>
    <n v="110.87583978000001"/>
    <n v="12.973340889999999"/>
    <n v="15.63640053"/>
    <x v="0"/>
  </r>
  <r>
    <x v="0"/>
    <x v="3"/>
    <x v="0"/>
    <x v="0"/>
    <x v="0"/>
    <x v="3"/>
    <n v="16713482"/>
    <n v="5079.3919786899996"/>
    <n v="6116.7389011799996"/>
    <n v="716.32744859000002"/>
    <n v="862.62056347999999"/>
    <x v="0"/>
  </r>
  <r>
    <x v="0"/>
    <x v="3"/>
    <x v="0"/>
    <x v="0"/>
    <x v="0"/>
    <x v="4"/>
    <n v="777356"/>
    <n v="197.49615460000001"/>
    <n v="236.83825999999999"/>
    <n v="27.85213607"/>
    <n v="33.400404459999997"/>
    <x v="0"/>
  </r>
  <r>
    <x v="0"/>
    <x v="3"/>
    <x v="0"/>
    <x v="0"/>
    <x v="0"/>
    <x v="2"/>
    <n v="6092147"/>
    <n v="871.03098589000001"/>
    <n v="1052.8182906899999"/>
    <n v="122.83820709"/>
    <n v="148.47498346"/>
    <x v="0"/>
  </r>
  <r>
    <x v="0"/>
    <x v="3"/>
    <x v="0"/>
    <x v="0"/>
    <x v="0"/>
    <x v="5"/>
    <n v="141350"/>
    <n v="55.699062920000003"/>
    <n v="67.611715579999995"/>
    <n v="7.85502828"/>
    <n v="9.5350246500000004"/>
    <x v="0"/>
  </r>
  <r>
    <x v="0"/>
    <x v="3"/>
    <x v="0"/>
    <x v="0"/>
    <x v="2"/>
    <x v="1"/>
    <n v="27523456"/>
    <n v="251.46243656999999"/>
    <n v="302.84448587000003"/>
    <n v="35.4627968"/>
    <n v="42.709012970000003"/>
    <x v="0"/>
  </r>
  <r>
    <x v="0"/>
    <x v="3"/>
    <x v="0"/>
    <x v="0"/>
    <x v="2"/>
    <x v="0"/>
    <n v="15290376"/>
    <n v="81.576355989999996"/>
    <n v="97.800791459999999"/>
    <n v="11.504405090000001"/>
    <n v="13.79247589"/>
    <x v="0"/>
  </r>
  <r>
    <x v="0"/>
    <x v="3"/>
    <x v="0"/>
    <x v="0"/>
    <x v="1"/>
    <x v="1"/>
    <n v="6940115"/>
    <n v="1067.1424718400001"/>
    <n v="1280.8855646500001"/>
    <n v="150.49506857"/>
    <n v="180.63844892"/>
    <x v="0"/>
  </r>
  <r>
    <x v="0"/>
    <x v="3"/>
    <x v="0"/>
    <x v="0"/>
    <x v="1"/>
    <x v="6"/>
    <n v="188425"/>
    <n v="321.01098382999999"/>
    <n v="385.14457926"/>
    <n v="45.270965500000003"/>
    <n v="54.315484009999999"/>
    <x v="0"/>
  </r>
  <r>
    <x v="0"/>
    <x v="3"/>
    <x v="0"/>
    <x v="0"/>
    <x v="1"/>
    <x v="3"/>
    <n v="4235207"/>
    <n v="2702.5524557600002"/>
    <n v="3255.6595386399999"/>
    <n v="381.13075608999998"/>
    <n v="459.13335702000001"/>
    <x v="0"/>
  </r>
  <r>
    <x v="0"/>
    <x v="3"/>
    <x v="0"/>
    <x v="0"/>
    <x v="1"/>
    <x v="4"/>
    <n v="68046"/>
    <n v="77.096463540000002"/>
    <n v="92.987829270000006"/>
    <n v="10.8726228"/>
    <n v="13.11372203"/>
    <x v="0"/>
  </r>
  <r>
    <x v="0"/>
    <x v="3"/>
    <x v="0"/>
    <x v="0"/>
    <x v="1"/>
    <x v="2"/>
    <n v="717976"/>
    <n v="152.9956492"/>
    <n v="185.10136152999999"/>
    <n v="21.576398019999999"/>
    <n v="26.104145259999999"/>
    <x v="0"/>
  </r>
  <r>
    <x v="0"/>
    <x v="3"/>
    <x v="0"/>
    <x v="0"/>
    <x v="1"/>
    <x v="5"/>
    <n v="106156"/>
    <n v="53.762948229999999"/>
    <n v="64.618493450000003"/>
    <n v="7.5819853400000001"/>
    <n v="9.1129018500000001"/>
    <x v="0"/>
  </r>
  <r>
    <x v="0"/>
    <x v="4"/>
    <x v="0"/>
    <x v="1"/>
    <x v="0"/>
    <x v="1"/>
    <n v="5233166"/>
    <n v="319.98364428000002"/>
    <n v="387.94382808"/>
    <n v="45.126083680000001"/>
    <n v="54.710251489999997"/>
    <x v="0"/>
  </r>
  <r>
    <x v="0"/>
    <x v="4"/>
    <x v="0"/>
    <x v="1"/>
    <x v="0"/>
    <x v="6"/>
    <n v="6093999"/>
    <n v="5105.4949029400004"/>
    <n v="6135.48168171"/>
    <n v="720.00864532000003"/>
    <n v="865.26378695999995"/>
    <x v="0"/>
  </r>
  <r>
    <x v="0"/>
    <x v="4"/>
    <x v="0"/>
    <x v="1"/>
    <x v="0"/>
    <x v="3"/>
    <n v="2205989"/>
    <n v="583.23332784000002"/>
    <n v="702.77807717999997"/>
    <n v="82.251191370000001"/>
    <n v="99.110135439999993"/>
    <x v="0"/>
  </r>
  <r>
    <x v="0"/>
    <x v="4"/>
    <x v="0"/>
    <x v="1"/>
    <x v="0"/>
    <x v="7"/>
    <n v="32197640"/>
    <n v="25466.994584020002"/>
    <n v="30381.524646530001"/>
    <n v="3591.5139706199998"/>
    <n v="4284.5915664300001"/>
    <x v="0"/>
  </r>
  <r>
    <x v="0"/>
    <x v="4"/>
    <x v="0"/>
    <x v="1"/>
    <x v="0"/>
    <x v="4"/>
    <n v="5184198"/>
    <n v="2618.2412612100002"/>
    <n v="3155.8725587600002"/>
    <n v="369.24066706000002"/>
    <n v="445.06077649000002"/>
    <x v="0"/>
  </r>
  <r>
    <x v="0"/>
    <x v="4"/>
    <x v="0"/>
    <x v="1"/>
    <x v="0"/>
    <x v="5"/>
    <n v="15623"/>
    <n v="4.82520886"/>
    <n v="6.0120114300000003"/>
    <n v="0.68048096000000002"/>
    <n v="0.84785124000000001"/>
    <x v="0"/>
  </r>
  <r>
    <x v="0"/>
    <x v="4"/>
    <x v="0"/>
    <x v="1"/>
    <x v="0"/>
    <x v="8"/>
    <n v="3847403"/>
    <n v="6860.12073435"/>
    <n v="8163.5436738799999"/>
    <n v="967.45689313000003"/>
    <n v="1151.2737028199999"/>
    <x v="0"/>
  </r>
  <r>
    <x v="0"/>
    <x v="4"/>
    <x v="0"/>
    <x v="1"/>
    <x v="1"/>
    <x v="6"/>
    <n v="2942624"/>
    <n v="3623.2843355499999"/>
    <n v="4362.7975475499998"/>
    <n v="510.97809236000001"/>
    <n v="615.26884499000005"/>
    <x v="0"/>
  </r>
  <r>
    <x v="0"/>
    <x v="4"/>
    <x v="0"/>
    <x v="1"/>
    <x v="1"/>
    <x v="3"/>
    <n v="24752"/>
    <n v="30.11607996"/>
    <n v="36.049679660000002"/>
    <n v="4.2471569100000002"/>
    <n v="5.0839500400000004"/>
    <x v="0"/>
  </r>
  <r>
    <x v="0"/>
    <x v="4"/>
    <x v="0"/>
    <x v="1"/>
    <x v="1"/>
    <x v="7"/>
    <n v="1211884"/>
    <n v="2753.0140817699998"/>
    <n v="3344.10729631"/>
    <n v="388.24716844"/>
    <n v="471.60680991999999"/>
    <x v="0"/>
  </r>
  <r>
    <x v="0"/>
    <x v="4"/>
    <x v="0"/>
    <x v="1"/>
    <x v="1"/>
    <x v="4"/>
    <n v="10990"/>
    <n v="15.796128489999999"/>
    <n v="19.038935890000001"/>
    <n v="2.22766829"/>
    <n v="2.6849891499999998"/>
    <x v="0"/>
  </r>
  <r>
    <x v="0"/>
    <x v="4"/>
    <x v="0"/>
    <x v="1"/>
    <x v="1"/>
    <x v="5"/>
    <n v="20955"/>
    <n v="23.713977360000001"/>
    <n v="28.685460119999998"/>
    <n v="3.3442925799999998"/>
    <n v="4.0454020000000002"/>
    <x v="0"/>
  </r>
  <r>
    <x v="0"/>
    <x v="4"/>
    <x v="0"/>
    <x v="1"/>
    <x v="1"/>
    <x v="8"/>
    <n v="131469"/>
    <n v="581.44312706999995"/>
    <n v="581.44312706999995"/>
    <n v="81.998726120000001"/>
    <n v="81.998726120000001"/>
    <x v="0"/>
  </r>
  <r>
    <x v="0"/>
    <x v="4"/>
    <x v="0"/>
    <x v="0"/>
    <x v="0"/>
    <x v="1"/>
    <n v="174309457"/>
    <n v="6353.3015100700004"/>
    <n v="7677.7034049800004"/>
    <n v="895.98209391"/>
    <n v="1082.7574863699999"/>
    <x v="0"/>
  </r>
  <r>
    <x v="0"/>
    <x v="4"/>
    <x v="0"/>
    <x v="0"/>
    <x v="0"/>
    <x v="6"/>
    <n v="1526883"/>
    <n v="1136.3838617900001"/>
    <n v="1408.19178966"/>
    <n v="160.25992004"/>
    <n v="198.59196456000001"/>
    <x v="0"/>
  </r>
  <r>
    <x v="0"/>
    <x v="4"/>
    <x v="0"/>
    <x v="0"/>
    <x v="0"/>
    <x v="0"/>
    <n v="2775334"/>
    <n v="32.448946640000003"/>
    <n v="39.109796830000001"/>
    <n v="4.5761522699999997"/>
    <n v="5.5155067999999998"/>
    <x v="0"/>
  </r>
  <r>
    <x v="0"/>
    <x v="4"/>
    <x v="0"/>
    <x v="0"/>
    <x v="0"/>
    <x v="3"/>
    <n v="23673948"/>
    <n v="5988.2093131800002"/>
    <n v="7211.1609042999999"/>
    <n v="844.49452157999997"/>
    <n v="1016.9627612199999"/>
    <x v="0"/>
  </r>
  <r>
    <x v="0"/>
    <x v="4"/>
    <x v="0"/>
    <x v="0"/>
    <x v="0"/>
    <x v="4"/>
    <n v="1476908"/>
    <n v="337.03181862999998"/>
    <n v="404.17004398"/>
    <n v="47.530323260000003"/>
    <n v="56.998573380000003"/>
    <x v="0"/>
  </r>
  <r>
    <x v="0"/>
    <x v="4"/>
    <x v="0"/>
    <x v="0"/>
    <x v="0"/>
    <x v="2"/>
    <n v="13312052"/>
    <n v="1594.2671846400001"/>
    <n v="1926.9964897"/>
    <n v="224.83347406999999"/>
    <n v="271.75703011000002"/>
    <x v="0"/>
  </r>
  <r>
    <x v="0"/>
    <x v="4"/>
    <x v="0"/>
    <x v="0"/>
    <x v="0"/>
    <x v="5"/>
    <n v="27152"/>
    <n v="9.2517774799999994"/>
    <n v="11.23050398"/>
    <n v="1.3047432000000001"/>
    <n v="1.58379552"/>
    <x v="0"/>
  </r>
  <r>
    <x v="0"/>
    <x v="4"/>
    <x v="0"/>
    <x v="0"/>
    <x v="2"/>
    <x v="1"/>
    <n v="12326386"/>
    <n v="103.85935773"/>
    <n v="125.08124165"/>
    <n v="14.64689259"/>
    <n v="17.639734650000001"/>
    <x v="0"/>
  </r>
  <r>
    <x v="0"/>
    <x v="4"/>
    <x v="0"/>
    <x v="0"/>
    <x v="2"/>
    <x v="0"/>
    <n v="4426433"/>
    <n v="22.5304489"/>
    <n v="27.0114509"/>
    <n v="3.1773840299999998"/>
    <n v="3.8093228099999998"/>
    <x v="0"/>
  </r>
  <r>
    <x v="0"/>
    <x v="4"/>
    <x v="0"/>
    <x v="0"/>
    <x v="1"/>
    <x v="1"/>
    <n v="6612162"/>
    <n v="923.95995733999996"/>
    <n v="1109.0243364"/>
    <n v="130.30257983999999"/>
    <n v="156.4015096"/>
    <x v="0"/>
  </r>
  <r>
    <x v="0"/>
    <x v="4"/>
    <x v="0"/>
    <x v="0"/>
    <x v="1"/>
    <x v="6"/>
    <n v="299932"/>
    <n v="422.19860378999999"/>
    <n v="506.54809899999998"/>
    <n v="59.541073009999998"/>
    <n v="71.436563449999994"/>
    <x v="0"/>
  </r>
  <r>
    <x v="0"/>
    <x v="4"/>
    <x v="0"/>
    <x v="0"/>
    <x v="1"/>
    <x v="3"/>
    <n v="4815249"/>
    <n v="2846.9770807"/>
    <n v="3429.6422514599999"/>
    <n v="401.49841495999999"/>
    <n v="483.66948129000002"/>
    <x v="0"/>
  </r>
  <r>
    <x v="0"/>
    <x v="4"/>
    <x v="0"/>
    <x v="0"/>
    <x v="1"/>
    <x v="4"/>
    <n v="101095"/>
    <n v="104.50516852"/>
    <n v="126.04610279000001"/>
    <n v="14.737968840000001"/>
    <n v="17.77580537"/>
    <x v="0"/>
  </r>
  <r>
    <x v="0"/>
    <x v="4"/>
    <x v="0"/>
    <x v="0"/>
    <x v="1"/>
    <x v="2"/>
    <n v="1217892"/>
    <n v="204.64053978000001"/>
    <n v="247.58378906999999"/>
    <n v="28.859681699999999"/>
    <n v="34.915805800000001"/>
    <x v="0"/>
  </r>
  <r>
    <x v="0"/>
    <x v="4"/>
    <x v="0"/>
    <x v="0"/>
    <x v="1"/>
    <x v="5"/>
    <n v="16072"/>
    <n v="6.6167592500000003"/>
    <n v="7.9527821400000001"/>
    <n v="0.93313654000000001"/>
    <n v="1.1215508000000001"/>
    <x v="0"/>
  </r>
  <r>
    <x v="0"/>
    <x v="5"/>
    <x v="0"/>
    <x v="1"/>
    <x v="0"/>
    <x v="1"/>
    <n v="4604879"/>
    <n v="268.64568258999998"/>
    <n v="325.70237999"/>
    <n v="37.886085029999997"/>
    <n v="45.932575360000001"/>
    <x v="0"/>
  </r>
  <r>
    <x v="0"/>
    <x v="5"/>
    <x v="0"/>
    <x v="1"/>
    <x v="0"/>
    <x v="6"/>
    <n v="6977808"/>
    <n v="5088.1456013899997"/>
    <n v="6114.6323176699998"/>
    <n v="717.56193890999998"/>
    <n v="862.32347996999999"/>
    <x v="0"/>
  </r>
  <r>
    <x v="0"/>
    <x v="5"/>
    <x v="0"/>
    <x v="1"/>
    <x v="0"/>
    <x v="3"/>
    <n v="1035409"/>
    <n v="229.69815159999999"/>
    <n v="276.77915099000001"/>
    <n v="32.393461969999997"/>
    <n v="39.033117330000003"/>
    <x v="0"/>
  </r>
  <r>
    <x v="0"/>
    <x v="5"/>
    <x v="0"/>
    <x v="1"/>
    <x v="0"/>
    <x v="7"/>
    <n v="39659230"/>
    <n v="29454.01588993"/>
    <n v="35137.947147500003"/>
    <n v="4153.7885128400003"/>
    <n v="4955.3718505300003"/>
    <x v="0"/>
  </r>
  <r>
    <x v="0"/>
    <x v="5"/>
    <x v="0"/>
    <x v="1"/>
    <x v="0"/>
    <x v="4"/>
    <n v="4655814"/>
    <n v="2144.5577098600002"/>
    <n v="2584.9225308199998"/>
    <n v="302.43886651999998"/>
    <n v="364.54185246999998"/>
    <x v="0"/>
  </r>
  <r>
    <x v="0"/>
    <x v="5"/>
    <x v="0"/>
    <x v="1"/>
    <x v="0"/>
    <x v="8"/>
    <n v="7787815"/>
    <n v="12715.06653041"/>
    <n v="15130.92917119"/>
    <n v="1793.1577646799999"/>
    <n v="2133.8577399699998"/>
    <x v="0"/>
  </r>
  <r>
    <x v="0"/>
    <x v="5"/>
    <x v="0"/>
    <x v="1"/>
    <x v="1"/>
    <x v="6"/>
    <n v="2950054"/>
    <n v="3094.4675762699999"/>
    <n v="3726.0491594"/>
    <n v="436.40106393999997"/>
    <n v="525.47062697000001"/>
    <x v="0"/>
  </r>
  <r>
    <x v="0"/>
    <x v="5"/>
    <x v="0"/>
    <x v="1"/>
    <x v="1"/>
    <x v="3"/>
    <n v="6259"/>
    <n v="6.63823674"/>
    <n v="7.9461307200000002"/>
    <n v="0.93616542999999997"/>
    <n v="1.1206127800000001"/>
    <x v="0"/>
  </r>
  <r>
    <x v="0"/>
    <x v="5"/>
    <x v="0"/>
    <x v="1"/>
    <x v="1"/>
    <x v="7"/>
    <n v="1714509"/>
    <n v="3321.5159756500002"/>
    <n v="4034.6709021699999"/>
    <n v="468.42084137000001"/>
    <n v="568.99438464000002"/>
    <x v="0"/>
  </r>
  <r>
    <x v="0"/>
    <x v="5"/>
    <x v="0"/>
    <x v="1"/>
    <x v="1"/>
    <x v="4"/>
    <n v="9213"/>
    <n v="11.27309966"/>
    <n v="13.587368700000001"/>
    <n v="1.5898026300000001"/>
    <n v="1.9161752400000001"/>
    <x v="0"/>
  </r>
  <r>
    <x v="0"/>
    <x v="5"/>
    <x v="0"/>
    <x v="1"/>
    <x v="1"/>
    <x v="8"/>
    <n v="309220"/>
    <n v="1223.77166225"/>
    <n v="1223.77166225"/>
    <n v="172.58389116999999"/>
    <n v="172.58389116999999"/>
    <x v="0"/>
  </r>
  <r>
    <x v="0"/>
    <x v="5"/>
    <x v="0"/>
    <x v="0"/>
    <x v="0"/>
    <x v="1"/>
    <n v="159508373"/>
    <n v="5355.8340029000001"/>
    <n v="6472.3049733099997"/>
    <n v="755.31302220999999"/>
    <n v="912.76470244999996"/>
    <x v="0"/>
  </r>
  <r>
    <x v="0"/>
    <x v="5"/>
    <x v="0"/>
    <x v="0"/>
    <x v="0"/>
    <x v="6"/>
    <n v="2268179"/>
    <n v="1409.9035498200001"/>
    <n v="1747.1337545599999"/>
    <n v="198.83336761999999"/>
    <n v="246.39166853"/>
    <x v="0"/>
  </r>
  <r>
    <x v="0"/>
    <x v="5"/>
    <x v="0"/>
    <x v="0"/>
    <x v="0"/>
    <x v="3"/>
    <n v="31524198"/>
    <n v="6610.6537271500001"/>
    <n v="7960.7250207699999"/>
    <n v="932.27550418999999"/>
    <n v="1122.6709549100001"/>
    <x v="0"/>
  </r>
  <r>
    <x v="0"/>
    <x v="5"/>
    <x v="0"/>
    <x v="0"/>
    <x v="0"/>
    <x v="4"/>
    <n v="2376823"/>
    <n v="483.16729608000003"/>
    <n v="579.41635331999998"/>
    <n v="68.139257200000003"/>
    <n v="81.71289788"/>
    <x v="0"/>
  </r>
  <r>
    <x v="0"/>
    <x v="5"/>
    <x v="0"/>
    <x v="0"/>
    <x v="0"/>
    <x v="2"/>
    <n v="21213150"/>
    <n v="2151.3077989399999"/>
    <n v="2600.2934870399999"/>
    <n v="303.39080607"/>
    <n v="366.70956030999997"/>
    <x v="0"/>
  </r>
  <r>
    <x v="0"/>
    <x v="5"/>
    <x v="0"/>
    <x v="0"/>
    <x v="2"/>
    <x v="1"/>
    <n v="4657747"/>
    <n v="36.575357220000001"/>
    <n v="44.048906080000002"/>
    <n v="5.1580843600000001"/>
    <n v="6.2120506999999998"/>
    <x v="0"/>
  </r>
  <r>
    <x v="0"/>
    <x v="5"/>
    <x v="0"/>
    <x v="0"/>
    <x v="1"/>
    <x v="1"/>
    <n v="6289867"/>
    <n v="798.01559354999995"/>
    <n v="957.85397088000002"/>
    <n v="112.54112234"/>
    <n v="135.08252443999999"/>
    <x v="0"/>
  </r>
  <r>
    <x v="0"/>
    <x v="5"/>
    <x v="0"/>
    <x v="0"/>
    <x v="1"/>
    <x v="6"/>
    <n v="402475"/>
    <n v="487.60480147999999"/>
    <n v="585.02155866999999"/>
    <n v="68.765061810000006"/>
    <n v="82.503378799999993"/>
    <x v="0"/>
  </r>
  <r>
    <x v="0"/>
    <x v="5"/>
    <x v="0"/>
    <x v="0"/>
    <x v="1"/>
    <x v="3"/>
    <n v="5620051"/>
    <n v="2984.09659384"/>
    <n v="3594.8247810100002"/>
    <n v="420.83586152999999"/>
    <n v="506.96454897000001"/>
    <x v="0"/>
  </r>
  <r>
    <x v="0"/>
    <x v="5"/>
    <x v="0"/>
    <x v="0"/>
    <x v="1"/>
    <x v="4"/>
    <n v="158469"/>
    <n v="149.53109161"/>
    <n v="180.35291086999999"/>
    <n v="21.087804559999999"/>
    <n v="25.434489209999999"/>
    <x v="0"/>
  </r>
  <r>
    <x v="0"/>
    <x v="5"/>
    <x v="0"/>
    <x v="0"/>
    <x v="1"/>
    <x v="2"/>
    <n v="1415935"/>
    <n v="241.19982557"/>
    <n v="291.81493949999998"/>
    <n v="34.015499570000003"/>
    <n v="41.153557739999997"/>
    <x v="0"/>
  </r>
  <r>
    <x v="0"/>
    <x v="6"/>
    <x v="0"/>
    <x v="1"/>
    <x v="0"/>
    <x v="1"/>
    <n v="3068383"/>
    <n v="160.39151788000001"/>
    <n v="194.45649972999999"/>
    <n v="22.61940942"/>
    <n v="27.423465029999999"/>
    <x v="0"/>
  </r>
  <r>
    <x v="0"/>
    <x v="6"/>
    <x v="0"/>
    <x v="1"/>
    <x v="0"/>
    <x v="6"/>
    <n v="8073069"/>
    <n v="4749.4408313200001"/>
    <n v="5707.5969661899999"/>
    <n v="669.79568562999998"/>
    <n v="804.92082311000001"/>
    <x v="0"/>
  </r>
  <r>
    <x v="0"/>
    <x v="6"/>
    <x v="0"/>
    <x v="1"/>
    <x v="0"/>
    <x v="3"/>
    <n v="314770"/>
    <n v="59.621216769999997"/>
    <n v="71.841717680000002"/>
    <n v="8.4081548099999992"/>
    <n v="10.131565849999999"/>
    <x v="0"/>
  </r>
  <r>
    <x v="0"/>
    <x v="6"/>
    <x v="0"/>
    <x v="1"/>
    <x v="0"/>
    <x v="7"/>
    <n v="40684627"/>
    <n v="31106.23490671"/>
    <n v="37109.005515390003"/>
    <n v="4386.7947147200002"/>
    <n v="5233.3427607599997"/>
    <x v="0"/>
  </r>
  <r>
    <x v="0"/>
    <x v="6"/>
    <x v="0"/>
    <x v="1"/>
    <x v="0"/>
    <x v="4"/>
    <n v="4111905"/>
    <n v="1625.75880108"/>
    <n v="1959.5931297499999"/>
    <n v="229.27461769000001"/>
    <n v="276.35401102999998"/>
    <x v="0"/>
  </r>
  <r>
    <x v="0"/>
    <x v="6"/>
    <x v="0"/>
    <x v="1"/>
    <x v="0"/>
    <x v="8"/>
    <n v="13694069"/>
    <n v="21110.028737019999"/>
    <n v="25120.934197049999"/>
    <n v="2977.0675483199998"/>
    <n v="3542.7103824999999"/>
    <x v="0"/>
  </r>
  <r>
    <x v="0"/>
    <x v="6"/>
    <x v="0"/>
    <x v="1"/>
    <x v="1"/>
    <x v="6"/>
    <n v="2947207"/>
    <n v="2441.21201974"/>
    <n v="2939.4639852800001"/>
    <n v="344.27490237000001"/>
    <n v="414.54149347999999"/>
    <x v="0"/>
  </r>
  <r>
    <x v="0"/>
    <x v="6"/>
    <x v="0"/>
    <x v="1"/>
    <x v="1"/>
    <x v="3"/>
    <n v="1488"/>
    <n v="1.3343004000000001"/>
    <n v="1.59719001"/>
    <n v="0.18817133999999999"/>
    <n v="0.22524567000000001"/>
    <x v="0"/>
  </r>
  <r>
    <x v="0"/>
    <x v="6"/>
    <x v="0"/>
    <x v="1"/>
    <x v="1"/>
    <x v="7"/>
    <n v="2322725"/>
    <n v="3509.65495538"/>
    <n v="4263.2047622"/>
    <n v="494.95337044000001"/>
    <n v="601.22365096999999"/>
    <x v="0"/>
  </r>
  <r>
    <x v="0"/>
    <x v="6"/>
    <x v="0"/>
    <x v="1"/>
    <x v="1"/>
    <x v="4"/>
    <n v="6726"/>
    <n v="6.8966719100000002"/>
    <n v="8.3124985000000002"/>
    <n v="0.97261156999999998"/>
    <n v="1.1722802400000001"/>
    <x v="0"/>
  </r>
  <r>
    <x v="0"/>
    <x v="6"/>
    <x v="0"/>
    <x v="1"/>
    <x v="1"/>
    <x v="8"/>
    <n v="557026"/>
    <n v="2094.1275445299998"/>
    <n v="2094.1275445299998"/>
    <n v="295.32689095000001"/>
    <n v="295.32689095000001"/>
    <x v="0"/>
  </r>
  <r>
    <x v="0"/>
    <x v="6"/>
    <x v="0"/>
    <x v="0"/>
    <x v="0"/>
    <x v="1"/>
    <n v="136341597"/>
    <n v="4424.8348758299999"/>
    <n v="5347.2308434899996"/>
    <n v="624.01773487000003"/>
    <n v="754.09975115999998"/>
    <x v="0"/>
  </r>
  <r>
    <x v="0"/>
    <x v="6"/>
    <x v="0"/>
    <x v="0"/>
    <x v="0"/>
    <x v="6"/>
    <n v="2402184"/>
    <n v="1662.8223310200001"/>
    <n v="2060.5473493"/>
    <n v="234.5015472"/>
    <n v="290.59120296999998"/>
    <x v="0"/>
  </r>
  <r>
    <x v="0"/>
    <x v="6"/>
    <x v="0"/>
    <x v="0"/>
    <x v="0"/>
    <x v="3"/>
    <n v="39243336"/>
    <n v="7158.1443306199999"/>
    <n v="8620.0277653499998"/>
    <n v="1009.48603426"/>
    <n v="1215.6499285499999"/>
    <x v="0"/>
  </r>
  <r>
    <x v="0"/>
    <x v="6"/>
    <x v="0"/>
    <x v="0"/>
    <x v="0"/>
    <x v="4"/>
    <n v="4027728"/>
    <n v="624.57136654999999"/>
    <n v="748.98873854999999"/>
    <n v="88.080938689999996"/>
    <n v="105.62705032"/>
    <x v="0"/>
  </r>
  <r>
    <x v="0"/>
    <x v="6"/>
    <x v="0"/>
    <x v="0"/>
    <x v="0"/>
    <x v="2"/>
    <n v="29851805"/>
    <n v="2703.2421831699999"/>
    <n v="3267.4185656999998"/>
    <n v="381.22802574000002"/>
    <n v="460.79168815000003"/>
    <x v="0"/>
  </r>
  <r>
    <x v="0"/>
    <x v="6"/>
    <x v="0"/>
    <x v="0"/>
    <x v="2"/>
    <x v="1"/>
    <n v="1480180"/>
    <n v="11.22271033"/>
    <n v="13.5158793"/>
    <n v="1.5826964100000001"/>
    <n v="1.9060933600000001"/>
    <x v="0"/>
  </r>
  <r>
    <x v="0"/>
    <x v="6"/>
    <x v="0"/>
    <x v="0"/>
    <x v="1"/>
    <x v="1"/>
    <n v="5529877"/>
    <n v="668.35198931000002"/>
    <n v="802.21942037999997"/>
    <n v="94.255154410000003"/>
    <n v="113.13397214"/>
    <x v="0"/>
  </r>
  <r>
    <x v="0"/>
    <x v="6"/>
    <x v="0"/>
    <x v="0"/>
    <x v="1"/>
    <x v="6"/>
    <n v="624798"/>
    <n v="545.85958068000002"/>
    <n v="654.91484443000002"/>
    <n v="76.980513090000002"/>
    <n v="92.360164670000003"/>
    <x v="0"/>
  </r>
  <r>
    <x v="0"/>
    <x v="6"/>
    <x v="0"/>
    <x v="0"/>
    <x v="1"/>
    <x v="3"/>
    <n v="5580852"/>
    <n v="3023.3410580499999"/>
    <n v="3642.1010564399999"/>
    <n v="426.37035995999997"/>
    <n v="513.63174336999998"/>
    <x v="0"/>
  </r>
  <r>
    <x v="0"/>
    <x v="6"/>
    <x v="0"/>
    <x v="0"/>
    <x v="1"/>
    <x v="4"/>
    <n v="197527"/>
    <n v="179.42531459"/>
    <n v="216.40902517999999"/>
    <n v="25.30367382"/>
    <n v="30.519346710000001"/>
    <x v="0"/>
  </r>
  <r>
    <x v="0"/>
    <x v="6"/>
    <x v="0"/>
    <x v="0"/>
    <x v="1"/>
    <x v="2"/>
    <n v="1767538"/>
    <n v="267.11149420999999"/>
    <n v="323.16409987999998"/>
    <n v="37.669724240000001"/>
    <n v="45.574611320000002"/>
    <x v="0"/>
  </r>
  <r>
    <x v="0"/>
    <x v="7"/>
    <x v="0"/>
    <x v="1"/>
    <x v="0"/>
    <x v="1"/>
    <n v="1495606"/>
    <n v="73.804200910000006"/>
    <n v="89.479211640000003"/>
    <n v="10.408327440000001"/>
    <n v="12.618914950000001"/>
    <x v="0"/>
  </r>
  <r>
    <x v="0"/>
    <x v="7"/>
    <x v="0"/>
    <x v="1"/>
    <x v="0"/>
    <x v="6"/>
    <n v="7361948"/>
    <n v="4088.7288604999999"/>
    <n v="4913.5924140500001"/>
    <n v="576.61797414"/>
    <n v="692.94536277999998"/>
    <x v="0"/>
  </r>
  <r>
    <x v="0"/>
    <x v="7"/>
    <x v="0"/>
    <x v="1"/>
    <x v="0"/>
    <x v="3"/>
    <n v="53175"/>
    <n v="9.5086717499999995"/>
    <n v="11.457654639999999"/>
    <n v="1.3409720300000001"/>
    <n v="1.61582972"/>
    <x v="0"/>
  </r>
  <r>
    <x v="0"/>
    <x v="7"/>
    <x v="0"/>
    <x v="1"/>
    <x v="0"/>
    <x v="7"/>
    <n v="43978197"/>
    <n v="31742.876224539999"/>
    <n v="37868.503611059998"/>
    <n v="4476.5778330100002"/>
    <n v="5340.4519059800004"/>
    <x v="0"/>
  </r>
  <r>
    <x v="0"/>
    <x v="7"/>
    <x v="0"/>
    <x v="1"/>
    <x v="0"/>
    <x v="4"/>
    <n v="2595082"/>
    <n v="968.62532538000005"/>
    <n v="1167.5234553"/>
    <n v="136.60156784"/>
    <n v="164.65141919000001"/>
    <x v="0"/>
  </r>
  <r>
    <x v="0"/>
    <x v="7"/>
    <x v="0"/>
    <x v="1"/>
    <x v="0"/>
    <x v="8"/>
    <n v="21407304"/>
    <n v="31153.729611909999"/>
    <n v="37072.938238169998"/>
    <n v="4393.4927134400004"/>
    <n v="5228.2563289999998"/>
    <x v="0"/>
  </r>
  <r>
    <x v="0"/>
    <x v="7"/>
    <x v="0"/>
    <x v="1"/>
    <x v="1"/>
    <x v="6"/>
    <n v="2167064"/>
    <n v="1694.5655754100001"/>
    <n v="2040.4268205000001"/>
    <n v="238.97817696000001"/>
    <n v="287.75368085999997"/>
    <x v="0"/>
  </r>
  <r>
    <x v="0"/>
    <x v="7"/>
    <x v="0"/>
    <x v="1"/>
    <x v="1"/>
    <x v="3"/>
    <n v="194"/>
    <n v="0.16439118999999999"/>
    <n v="0.19678024999999999"/>
    <n v="2.3183470000000001E-2"/>
    <n v="2.7751169999999999E-2"/>
    <x v="0"/>
  </r>
  <r>
    <x v="0"/>
    <x v="7"/>
    <x v="0"/>
    <x v="1"/>
    <x v="1"/>
    <x v="7"/>
    <n v="2494930"/>
    <n v="3558.909584"/>
    <n v="4323.0347369199999"/>
    <n v="501.89956451"/>
    <n v="609.66124612999999"/>
    <x v="0"/>
  </r>
  <r>
    <x v="0"/>
    <x v="7"/>
    <x v="0"/>
    <x v="1"/>
    <x v="1"/>
    <x v="4"/>
    <n v="3808"/>
    <n v="3.68659632"/>
    <n v="4.4434223900000003"/>
    <n v="0.51990674000000003"/>
    <n v="0.62663906000000003"/>
    <x v="0"/>
  </r>
  <r>
    <x v="0"/>
    <x v="7"/>
    <x v="0"/>
    <x v="1"/>
    <x v="1"/>
    <x v="8"/>
    <n v="882135"/>
    <n v="3130.7927201000002"/>
    <n v="3130.7927201000002"/>
    <n v="441.52386165000001"/>
    <n v="441.52386165000001"/>
    <x v="0"/>
  </r>
  <r>
    <x v="0"/>
    <x v="7"/>
    <x v="0"/>
    <x v="0"/>
    <x v="0"/>
    <x v="1"/>
    <n v="112422223"/>
    <n v="3706.03258624"/>
    <n v="4478.5878588100004"/>
    <n v="522.64776532999997"/>
    <n v="631.59831484999995"/>
    <x v="0"/>
  </r>
  <r>
    <x v="0"/>
    <x v="7"/>
    <x v="0"/>
    <x v="0"/>
    <x v="0"/>
    <x v="6"/>
    <n v="2681100"/>
    <n v="1885.12841832"/>
    <n v="2336.0261003199998"/>
    <n v="265.85253428999999"/>
    <n v="329.44092979999999"/>
    <x v="0"/>
  </r>
  <r>
    <x v="0"/>
    <x v="7"/>
    <x v="0"/>
    <x v="0"/>
    <x v="0"/>
    <x v="3"/>
    <n v="41241185"/>
    <n v="7641.0673506900002"/>
    <n v="9201.5765088799999"/>
    <n v="1077.5908421399999"/>
    <n v="1297.6635493599999"/>
    <x v="0"/>
  </r>
  <r>
    <x v="0"/>
    <x v="7"/>
    <x v="0"/>
    <x v="0"/>
    <x v="0"/>
    <x v="4"/>
    <n v="4579890"/>
    <n v="721.38224442000001"/>
    <n v="865.08477044999995"/>
    <n v="101.73381080999999"/>
    <n v="121.99963481"/>
    <x v="0"/>
  </r>
  <r>
    <x v="0"/>
    <x v="7"/>
    <x v="0"/>
    <x v="0"/>
    <x v="0"/>
    <x v="2"/>
    <n v="34705075"/>
    <n v="3192.2414404000001"/>
    <n v="3858.4737296200001"/>
    <n v="450.18974236999998"/>
    <n v="544.14596348999999"/>
    <x v="0"/>
  </r>
  <r>
    <x v="0"/>
    <x v="7"/>
    <x v="0"/>
    <x v="0"/>
    <x v="2"/>
    <x v="1"/>
    <n v="389589"/>
    <n v="3.0003909200000001"/>
    <n v="3.6134695099999998"/>
    <n v="0.42313379000000001"/>
    <n v="0.50959394000000002"/>
    <x v="0"/>
  </r>
  <r>
    <x v="0"/>
    <x v="7"/>
    <x v="0"/>
    <x v="0"/>
    <x v="1"/>
    <x v="1"/>
    <n v="4271437"/>
    <n v="524.38718602999995"/>
    <n v="629.41921496999998"/>
    <n v="73.952342450000003"/>
    <n v="88.76461243"/>
    <x v="0"/>
  </r>
  <r>
    <x v="0"/>
    <x v="7"/>
    <x v="0"/>
    <x v="0"/>
    <x v="1"/>
    <x v="6"/>
    <n v="666744"/>
    <n v="591.68330827"/>
    <n v="709.89352482000004"/>
    <n v="83.442860159999995"/>
    <n v="100.11360012"/>
    <x v="0"/>
  </r>
  <r>
    <x v="0"/>
    <x v="7"/>
    <x v="0"/>
    <x v="0"/>
    <x v="1"/>
    <x v="3"/>
    <n v="5532368"/>
    <n v="3044.2907365900001"/>
    <n v="3667.3383171"/>
    <n v="429.32481393"/>
    <n v="517.19085884000003"/>
    <x v="0"/>
  </r>
  <r>
    <x v="0"/>
    <x v="7"/>
    <x v="0"/>
    <x v="0"/>
    <x v="1"/>
    <x v="4"/>
    <n v="226349"/>
    <n v="208.84524861"/>
    <n v="251.8930886"/>
    <n v="29.452655889999999"/>
    <n v="35.523530030000003"/>
    <x v="0"/>
  </r>
  <r>
    <x v="0"/>
    <x v="7"/>
    <x v="0"/>
    <x v="0"/>
    <x v="1"/>
    <x v="2"/>
    <n v="2108172"/>
    <n v="288.96693655000001"/>
    <n v="349.60584613999998"/>
    <n v="40.751914650000003"/>
    <n v="49.30359082999999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x v="0"/>
    <x v="0"/>
    <x v="0"/>
    <x v="0"/>
    <n v="10851586"/>
    <n v="167.33298884000018"/>
    <n v="203.77190082000001"/>
    <n v="23.727156549999993"/>
    <n v="28.896597610000008"/>
    <x v="0"/>
  </r>
  <r>
    <x v="0"/>
    <x v="0"/>
    <x v="0"/>
    <x v="1"/>
    <x v="0"/>
    <n v="23848009"/>
    <n v="119.24562974"/>
    <n v="145.68043438999999"/>
    <n v="16.812982550000001"/>
    <n v="20.543080670000002"/>
    <x v="0"/>
  </r>
  <r>
    <x v="0"/>
    <x v="0"/>
    <x v="0"/>
    <x v="2"/>
    <x v="0"/>
    <n v="847"/>
    <n v="0.15158940000000001"/>
    <n v="0.19109875999999998"/>
    <n v="2.182949E-2"/>
    <n v="2.7515689999999999E-2"/>
    <x v="0"/>
  </r>
  <r>
    <x v="0"/>
    <x v="0"/>
    <x v="0"/>
    <x v="0"/>
    <x v="1"/>
    <n v="198910135"/>
    <n v="10373.779940480001"/>
    <n v="12529.135763909999"/>
    <n v="1461.3340001099994"/>
    <n v="1764.9884218000009"/>
    <x v="0"/>
  </r>
  <r>
    <x v="0"/>
    <x v="0"/>
    <x v="0"/>
    <x v="1"/>
    <x v="1"/>
    <n v="27275134"/>
    <n v="345.88194091000003"/>
    <n v="420.07502184000015"/>
    <n v="48.85136232"/>
    <n v="59.336971480000003"/>
    <x v="0"/>
  </r>
  <r>
    <x v="0"/>
    <x v="0"/>
    <x v="0"/>
    <x v="2"/>
    <x v="1"/>
    <n v="4982969"/>
    <n v="1302.9349890900005"/>
    <n v="1565.3231749400006"/>
    <n v="183.90394585000001"/>
    <n v="220.95226401999992"/>
    <x v="0"/>
  </r>
  <r>
    <x v="0"/>
    <x v="0"/>
    <x v="0"/>
    <x v="0"/>
    <x v="2"/>
    <n v="1897145"/>
    <n v="364.32355223000002"/>
    <n v="439.45413682000003"/>
    <n v="50.981849789999998"/>
    <n v="61.496882979999988"/>
    <x v="0"/>
  </r>
  <r>
    <x v="0"/>
    <x v="0"/>
    <x v="0"/>
    <x v="2"/>
    <x v="2"/>
    <n v="61646"/>
    <n v="10.524213100000001"/>
    <n v="12.73429784"/>
    <n v="1.4601894"/>
    <n v="1.7668291700000001"/>
    <x v="0"/>
  </r>
  <r>
    <x v="0"/>
    <x v="0"/>
    <x v="0"/>
    <x v="0"/>
    <x v="3"/>
    <n v="20980443"/>
    <n v="7090.8356520999996"/>
    <n v="8534.8590909600025"/>
    <n v="997.40022039000053"/>
    <n v="1200.5248686699999"/>
    <x v="0"/>
  </r>
  <r>
    <x v="0"/>
    <x v="0"/>
    <x v="0"/>
    <x v="2"/>
    <x v="3"/>
    <n v="3787127"/>
    <n v="3412.6584527500022"/>
    <n v="4103.2615314699988"/>
    <n v="480.87203936999975"/>
    <n v="578.18737236999993"/>
    <x v="0"/>
  </r>
  <r>
    <x v="0"/>
    <x v="0"/>
    <x v="0"/>
    <x v="0"/>
    <x v="4"/>
    <n v="6024430"/>
    <n v="3184.336248789999"/>
    <n v="3834.4437910400015"/>
    <n v="449.1657759900001"/>
    <n v="540.84958739000001"/>
    <x v="0"/>
  </r>
  <r>
    <x v="0"/>
    <x v="0"/>
    <x v="0"/>
    <x v="2"/>
    <x v="4"/>
    <n v="39144"/>
    <n v="65.401761040000011"/>
    <n v="79.80886636999999"/>
    <n v="9.2175091300000034"/>
    <n v="11.248387089999998"/>
    <x v="0"/>
  </r>
  <r>
    <x v="0"/>
    <x v="0"/>
    <x v="0"/>
    <x v="0"/>
    <x v="5"/>
    <n v="703783"/>
    <n v="504.03405780999987"/>
    <n v="614.21027369999979"/>
    <n v="71.286872159999973"/>
    <n v="86.871817000000021"/>
    <x v="0"/>
  </r>
  <r>
    <x v="0"/>
    <x v="0"/>
    <x v="0"/>
    <x v="2"/>
    <x v="5"/>
    <n v="638744"/>
    <n v="993.7052711299998"/>
    <n v="1193.8107527700004"/>
    <n v="140.17591903000005"/>
    <n v="168.39904706999999"/>
    <x v="0"/>
  </r>
  <r>
    <x v="0"/>
    <x v="0"/>
    <x v="0"/>
    <x v="0"/>
    <x v="6"/>
    <n v="4572324"/>
    <n v="5567.446134689998"/>
    <n v="6692.9086341599977"/>
    <n v="786.38231229999997"/>
    <n v="945.32944435999957"/>
    <x v="0"/>
  </r>
  <r>
    <x v="0"/>
    <x v="0"/>
    <x v="0"/>
    <x v="2"/>
    <x v="6"/>
    <n v="1007689"/>
    <n v="2578.76611839"/>
    <n v="3105.2553325599984"/>
    <n v="364.76591257000001"/>
    <n v="439.23904582"/>
    <x v="0"/>
  </r>
  <r>
    <x v="0"/>
    <x v="0"/>
    <x v="0"/>
    <x v="0"/>
    <x v="7"/>
    <n v="2350004"/>
    <n v="2644.5431698299994"/>
    <n v="3133.5831084599999"/>
    <n v="371.39148761000001"/>
    <n v="440.06727454999998"/>
    <x v="0"/>
  </r>
  <r>
    <x v="0"/>
    <x v="0"/>
    <x v="0"/>
    <x v="2"/>
    <x v="7"/>
    <n v="137210"/>
    <n v="680.28417735000005"/>
    <n v="824.42614239"/>
    <n v="95.326445539999995"/>
    <n v="115.52887224"/>
    <x v="0"/>
  </r>
  <r>
    <x v="0"/>
    <x v="1"/>
    <x v="0"/>
    <x v="0"/>
    <x v="0"/>
    <n v="7902595"/>
    <n v="97.727782210000001"/>
    <n v="119.55880147000001"/>
    <n v="13.59044995"/>
    <n v="16.62667845"/>
    <x v="0"/>
  </r>
  <r>
    <x v="0"/>
    <x v="1"/>
    <x v="0"/>
    <x v="1"/>
    <x v="0"/>
    <n v="14136854"/>
    <n v="87.743112109999998"/>
    <n v="107.31355978000001"/>
    <n v="12.2006072"/>
    <n v="14.92174822"/>
    <x v="0"/>
  </r>
  <r>
    <x v="0"/>
    <x v="1"/>
    <x v="0"/>
    <x v="2"/>
    <x v="0"/>
    <n v="357"/>
    <n v="3.5558939999999997E-2"/>
    <n v="4.6226620000000003E-2"/>
    <n v="4.9510999999999999E-3"/>
    <n v="6.4364299999999999E-3"/>
    <x v="0"/>
  </r>
  <r>
    <x v="0"/>
    <x v="1"/>
    <x v="0"/>
    <x v="0"/>
    <x v="1"/>
    <n v="1919752"/>
    <n v="191.85840109"/>
    <n v="234.99424579999999"/>
    <n v="26.688093330000001"/>
    <n v="32.687984790000002"/>
    <x v="0"/>
  </r>
  <r>
    <x v="0"/>
    <x v="1"/>
    <x v="0"/>
    <x v="0"/>
    <x v="1"/>
    <n v="209840807"/>
    <n v="9344.7804041799991"/>
    <n v="11279.9098545"/>
    <n v="1299.90955136"/>
    <n v="1569.0921930300001"/>
    <x v="0"/>
  </r>
  <r>
    <x v="0"/>
    <x v="1"/>
    <x v="0"/>
    <x v="1"/>
    <x v="1"/>
    <n v="18070080"/>
    <n v="287.08932728000002"/>
    <n v="350.41619231999999"/>
    <n v="39.898696119999997"/>
    <n v="48.699686630000002"/>
    <x v="0"/>
  </r>
  <r>
    <x v="0"/>
    <x v="1"/>
    <x v="0"/>
    <x v="2"/>
    <x v="1"/>
    <n v="3891"/>
    <n v="2.44360767"/>
    <n v="3.1683905399999999"/>
    <n v="0.33912110000000001"/>
    <n v="0.43970380999999997"/>
    <x v="0"/>
  </r>
  <r>
    <x v="0"/>
    <x v="1"/>
    <x v="0"/>
    <x v="2"/>
    <x v="1"/>
    <n v="4801672"/>
    <n v="1132.0530692"/>
    <n v="1358.3766335099999"/>
    <n v="157.43274006999999"/>
    <n v="188.90856399"/>
    <x v="0"/>
  </r>
  <r>
    <x v="0"/>
    <x v="1"/>
    <x v="0"/>
    <x v="0"/>
    <x v="2"/>
    <n v="2817881"/>
    <n v="465.16581987000001"/>
    <n v="560.76662873999999"/>
    <n v="64.646141110000002"/>
    <n v="77.931717399999997"/>
    <x v="0"/>
  </r>
  <r>
    <x v="0"/>
    <x v="1"/>
    <x v="0"/>
    <x v="2"/>
    <x v="2"/>
    <n v="90453"/>
    <n v="24.848116749999999"/>
    <n v="30.06622127"/>
    <n v="3.4555899299999999"/>
    <n v="4.1812638199999999"/>
    <x v="0"/>
  </r>
  <r>
    <x v="0"/>
    <x v="1"/>
    <x v="0"/>
    <x v="0"/>
    <x v="3"/>
    <n v="4630580"/>
    <n v="1658.0638059299999"/>
    <n v="1998.22796651"/>
    <n v="230.63707939"/>
    <n v="277.95358618"/>
    <x v="0"/>
  </r>
  <r>
    <x v="0"/>
    <x v="1"/>
    <x v="0"/>
    <x v="0"/>
    <x v="3"/>
    <n v="15445736"/>
    <n v="4120.9612069900004"/>
    <n v="4952.4074215399996"/>
    <n v="573.15329742999995"/>
    <n v="688.79264333000003"/>
    <x v="0"/>
  </r>
  <r>
    <x v="0"/>
    <x v="1"/>
    <x v="0"/>
    <x v="2"/>
    <x v="3"/>
    <n v="625926"/>
    <n v="1088.1881405300001"/>
    <n v="1311.59773451"/>
    <n v="151.22880305000001"/>
    <n v="182.27687177000001"/>
    <x v="0"/>
  </r>
  <r>
    <x v="0"/>
    <x v="1"/>
    <x v="0"/>
    <x v="2"/>
    <x v="3"/>
    <n v="3323722"/>
    <n v="2290.4330850400002"/>
    <n v="2753.5583144799998"/>
    <n v="318.50974456"/>
    <n v="382.91294833000001"/>
    <x v="0"/>
  </r>
  <r>
    <x v="0"/>
    <x v="1"/>
    <x v="0"/>
    <x v="0"/>
    <x v="4"/>
    <n v="4615698"/>
    <n v="2871.2716264000001"/>
    <n v="3462.8395477499998"/>
    <n v="399.40397459000002"/>
    <n v="481.69464820000002"/>
    <x v="0"/>
  </r>
  <r>
    <x v="0"/>
    <x v="1"/>
    <x v="0"/>
    <x v="0"/>
    <x v="4"/>
    <n v="247725"/>
    <n v="82.128408230000005"/>
    <n v="98.282134319999997"/>
    <n v="11.42716414"/>
    <n v="13.67472237"/>
    <x v="0"/>
  </r>
  <r>
    <x v="0"/>
    <x v="1"/>
    <x v="0"/>
    <x v="2"/>
    <x v="4"/>
    <n v="16610"/>
    <n v="19.379328940000001"/>
    <n v="23.989103119999999"/>
    <n v="2.69356697"/>
    <n v="3.3342859800000002"/>
    <x v="0"/>
  </r>
  <r>
    <x v="0"/>
    <x v="1"/>
    <x v="0"/>
    <x v="2"/>
    <x v="4"/>
    <n v="20945"/>
    <n v="28.961128689999999"/>
    <n v="34.815328000000001"/>
    <n v="4.0234032500000003"/>
    <n v="4.8366542600000004"/>
    <x v="0"/>
  </r>
  <r>
    <x v="0"/>
    <x v="1"/>
    <x v="0"/>
    <x v="0"/>
    <x v="5"/>
    <n v="200041"/>
    <n v="106.60450016"/>
    <n v="132.85091369"/>
    <n v="14.83868391"/>
    <n v="18.492082719999999"/>
    <x v="0"/>
  </r>
  <r>
    <x v="0"/>
    <x v="1"/>
    <x v="0"/>
    <x v="0"/>
    <x v="5"/>
    <n v="384606"/>
    <n v="216.66717496000001"/>
    <n v="262.50546575999999"/>
    <n v="30.13179388"/>
    <n v="36.507001000000002"/>
    <x v="0"/>
  </r>
  <r>
    <x v="0"/>
    <x v="1"/>
    <x v="0"/>
    <x v="2"/>
    <x v="5"/>
    <n v="260147"/>
    <n v="376.23126228000001"/>
    <n v="453.33051224000002"/>
    <n v="52.292131419999997"/>
    <n v="63.008983579999999"/>
    <x v="0"/>
  </r>
  <r>
    <x v="0"/>
    <x v="1"/>
    <x v="0"/>
    <x v="2"/>
    <x v="5"/>
    <n v="210650"/>
    <n v="265.60959635"/>
    <n v="318.03731837999999"/>
    <n v="36.940647980000001"/>
    <n v="44.232303700000003"/>
    <x v="0"/>
  </r>
  <r>
    <x v="0"/>
    <x v="1"/>
    <x v="0"/>
    <x v="0"/>
    <x v="6"/>
    <n v="4557553"/>
    <n v="4846.2009444699997"/>
    <n v="5819.3303416700001"/>
    <n v="673.89599426999996"/>
    <n v="809.21792029000005"/>
    <x v="0"/>
  </r>
  <r>
    <x v="0"/>
    <x v="1"/>
    <x v="0"/>
    <x v="0"/>
    <x v="6"/>
    <n v="445552"/>
    <n v="426.31286030000001"/>
    <n v="522.72550387000001"/>
    <n v="59.301796029999998"/>
    <n v="72.713742980000006"/>
    <x v="0"/>
  </r>
  <r>
    <x v="0"/>
    <x v="1"/>
    <x v="0"/>
    <x v="2"/>
    <x v="6"/>
    <n v="1060841"/>
    <n v="3687.57309433"/>
    <n v="4448.4202409299996"/>
    <n v="512.37770470999999"/>
    <n v="618.09470836000003"/>
    <x v="0"/>
  </r>
  <r>
    <x v="0"/>
    <x v="1"/>
    <x v="0"/>
    <x v="2"/>
    <x v="6"/>
    <n v="75281"/>
    <n v="293.93672509999999"/>
    <n v="352.73415287"/>
    <n v="40.899211340000001"/>
    <n v="49.080640019999997"/>
    <x v="0"/>
  </r>
  <r>
    <x v="0"/>
    <x v="1"/>
    <x v="0"/>
    <x v="0"/>
    <x v="7"/>
    <n v="6366228"/>
    <n v="5808.0059737299998"/>
    <n v="6917.4466709300004"/>
    <n v="807.93960721999997"/>
    <n v="962.26526028000001"/>
    <x v="0"/>
  </r>
  <r>
    <x v="0"/>
    <x v="1"/>
    <x v="0"/>
    <x v="2"/>
    <x v="7"/>
    <n v="263043"/>
    <n v="1904.94145757"/>
    <n v="2307.27366454"/>
    <n v="264.48490268"/>
    <n v="320.34811065999997"/>
    <x v="0"/>
  </r>
  <r>
    <x v="0"/>
    <x v="1"/>
    <x v="0"/>
    <x v="2"/>
    <x v="7"/>
    <n v="4"/>
    <n v="3.4017609999999997E-2"/>
    <n v="4.0480960000000003E-2"/>
    <n v="4.7302500000000001E-3"/>
    <n v="5.6290000000000003E-3"/>
    <x v="0"/>
  </r>
  <r>
    <x v="0"/>
    <x v="2"/>
    <x v="0"/>
    <x v="0"/>
    <x v="1"/>
    <n v="200473412"/>
    <n v="8544.7538727200008"/>
    <n v="10326.017784309999"/>
    <n v="1190.5262273599999"/>
    <n v="1438.69608305"/>
    <x v="0"/>
  </r>
  <r>
    <x v="0"/>
    <x v="2"/>
    <x v="0"/>
    <x v="0"/>
    <x v="6"/>
    <n v="6689540"/>
    <n v="5582.2563369400004"/>
    <n v="6718.7267623799999"/>
    <n v="777.26678962999995"/>
    <n v="935.48754106000001"/>
    <x v="0"/>
  </r>
  <r>
    <x v="0"/>
    <x v="2"/>
    <x v="0"/>
    <x v="0"/>
    <x v="0"/>
    <n v="8170287"/>
    <n v="139.09772831000001"/>
    <n v="170.76176340999999"/>
    <n v="19.339662919999999"/>
    <n v="23.743479570000002"/>
    <x v="0"/>
  </r>
  <r>
    <x v="0"/>
    <x v="2"/>
    <x v="0"/>
    <x v="0"/>
    <x v="3"/>
    <n v="20724941"/>
    <n v="5460.0941418499997"/>
    <n v="6572.4746865300003"/>
    <n v="761.03172944999994"/>
    <n v="916.07694877999995"/>
    <x v="0"/>
  </r>
  <r>
    <x v="0"/>
    <x v="2"/>
    <x v="0"/>
    <x v="0"/>
    <x v="7"/>
    <n v="13042976"/>
    <n v="12904.38931946"/>
    <n v="15397.143307099999"/>
    <n v="1797.2832975599999"/>
    <n v="2144.4765642399998"/>
    <x v="0"/>
  </r>
  <r>
    <x v="0"/>
    <x v="2"/>
    <x v="0"/>
    <x v="0"/>
    <x v="4"/>
    <n v="6270763"/>
    <n v="2979.7393357699998"/>
    <n v="3594.32285912"/>
    <n v="415.09290492999997"/>
    <n v="500.71026384999999"/>
    <x v="0"/>
  </r>
  <r>
    <x v="0"/>
    <x v="2"/>
    <x v="0"/>
    <x v="0"/>
    <x v="2"/>
    <n v="4413696"/>
    <n v="596.88198291000003"/>
    <n v="720.46171256000002"/>
    <n v="83.388070830000004"/>
    <n v="100.65274515999999"/>
    <x v="0"/>
  </r>
  <r>
    <x v="0"/>
    <x v="2"/>
    <x v="0"/>
    <x v="0"/>
    <x v="5"/>
    <n v="635655"/>
    <n v="310.73012412000003"/>
    <n v="380.60493645999998"/>
    <n v="43.265507890000002"/>
    <n v="52.993155979999997"/>
    <x v="0"/>
  </r>
  <r>
    <x v="0"/>
    <x v="2"/>
    <x v="0"/>
    <x v="0"/>
    <x v="8"/>
    <n v="899996"/>
    <n v="2006.9266749400001"/>
    <n v="2381.2277703700001"/>
    <n v="281.49622390000002"/>
    <n v="333.99724601000003"/>
    <x v="0"/>
  </r>
  <r>
    <x v="0"/>
    <x v="2"/>
    <x v="0"/>
    <x v="1"/>
    <x v="1"/>
    <n v="35058471"/>
    <n v="476.58289667999998"/>
    <n v="573.28073441000004"/>
    <n v="66.277921500000005"/>
    <n v="79.723764009999996"/>
    <x v="0"/>
  </r>
  <r>
    <x v="0"/>
    <x v="2"/>
    <x v="0"/>
    <x v="1"/>
    <x v="0"/>
    <n v="25808719"/>
    <n v="199.47517139999999"/>
    <n v="238.50903414999999"/>
    <n v="27.742676119999999"/>
    <n v="33.170130720000003"/>
    <x v="0"/>
  </r>
  <r>
    <x v="0"/>
    <x v="2"/>
    <x v="0"/>
    <x v="2"/>
    <x v="1"/>
    <n v="4880178"/>
    <n v="1227.53772452"/>
    <n v="1476.3514972099999"/>
    <n v="170.94141683000001"/>
    <n v="205.58697595999999"/>
    <x v="0"/>
  </r>
  <r>
    <x v="0"/>
    <x v="2"/>
    <x v="0"/>
    <x v="2"/>
    <x v="6"/>
    <n v="1078245"/>
    <n v="3542.5808066599998"/>
    <n v="4261.0560514500003"/>
    <n v="493.20560246000002"/>
    <n v="593.23129554000002"/>
    <x v="0"/>
  </r>
  <r>
    <x v="0"/>
    <x v="2"/>
    <x v="0"/>
    <x v="2"/>
    <x v="3"/>
    <n v="3511453"/>
    <n v="2708.8663660100001"/>
    <n v="3262.9140871700001"/>
    <n v="377.5902403"/>
    <n v="454.82196377000002"/>
    <x v="0"/>
  </r>
  <r>
    <x v="0"/>
    <x v="2"/>
    <x v="0"/>
    <x v="2"/>
    <x v="7"/>
    <n v="270396"/>
    <n v="1706.6601359900001"/>
    <n v="2064.9009372800001"/>
    <n v="238.20712553000001"/>
    <n v="288.19629742000001"/>
    <x v="0"/>
  </r>
  <r>
    <x v="0"/>
    <x v="2"/>
    <x v="0"/>
    <x v="2"/>
    <x v="4"/>
    <n v="79948"/>
    <n v="83.684624779999993"/>
    <n v="100.9156631"/>
    <n v="11.649055329999999"/>
    <n v="14.047493100000001"/>
    <x v="0"/>
  </r>
  <r>
    <x v="0"/>
    <x v="2"/>
    <x v="0"/>
    <x v="2"/>
    <x v="2"/>
    <n v="185625"/>
    <n v="103.95770899"/>
    <n v="125.78075459999999"/>
    <n v="14.547336319999999"/>
    <n v="17.601144949999998"/>
    <x v="0"/>
  </r>
  <r>
    <x v="0"/>
    <x v="2"/>
    <x v="0"/>
    <x v="2"/>
    <x v="5"/>
    <n v="480884"/>
    <n v="907.64573318999999"/>
    <n v="1095.7770486500001"/>
    <n v="126.92141988"/>
    <n v="153.22869155000001"/>
    <x v="0"/>
  </r>
  <r>
    <x v="0"/>
    <x v="2"/>
    <x v="0"/>
    <x v="2"/>
    <x v="8"/>
    <n v="2942"/>
    <n v="13.83767359"/>
    <n v="14.20924619"/>
    <n v="1.9359824400000001"/>
    <n v="1.98838392"/>
    <x v="0"/>
  </r>
  <r>
    <x v="0"/>
    <x v="3"/>
    <x v="0"/>
    <x v="0"/>
    <x v="1"/>
    <n v="188581180"/>
    <n v="7750.3844626600003"/>
    <n v="9367.2087975199993"/>
    <n v="1093.0074211799999"/>
    <n v="1321.0220448699999"/>
    <x v="0"/>
  </r>
  <r>
    <x v="0"/>
    <x v="3"/>
    <x v="0"/>
    <x v="0"/>
    <x v="6"/>
    <n v="6444140"/>
    <n v="6054.4815008599999"/>
    <n v="7308.6013431900001"/>
    <n v="853.84063766999998"/>
    <n v="1030.7044179500001"/>
    <x v="0"/>
  </r>
  <r>
    <x v="0"/>
    <x v="3"/>
    <x v="0"/>
    <x v="0"/>
    <x v="0"/>
    <n v="7428152"/>
    <n v="91.992403420000002"/>
    <n v="110.87583978000001"/>
    <n v="12.973340889999999"/>
    <n v="15.63640053"/>
    <x v="0"/>
  </r>
  <r>
    <x v="0"/>
    <x v="3"/>
    <x v="0"/>
    <x v="0"/>
    <x v="3"/>
    <n v="19864801"/>
    <n v="6043.8141608699998"/>
    <n v="7278.8377292699997"/>
    <n v="852.33626303999995"/>
    <n v="1026.5069679999999"/>
    <x v="0"/>
  </r>
  <r>
    <x v="0"/>
    <x v="3"/>
    <x v="0"/>
    <x v="0"/>
    <x v="7"/>
    <n v="24154006"/>
    <n v="20004.269512319999"/>
    <n v="23864.622314159998"/>
    <n v="2821.1265050799998"/>
    <n v="3365.5374670199999"/>
    <x v="0"/>
  </r>
  <r>
    <x v="0"/>
    <x v="3"/>
    <x v="0"/>
    <x v="0"/>
    <x v="4"/>
    <n v="6111050"/>
    <n v="3144.914996"/>
    <n v="3789.4819290800001"/>
    <n v="443.51547283000002"/>
    <n v="534.41631068000004"/>
    <x v="0"/>
  </r>
  <r>
    <x v="0"/>
    <x v="3"/>
    <x v="0"/>
    <x v="0"/>
    <x v="2"/>
    <n v="6092147"/>
    <n v="871.03098589000001"/>
    <n v="1052.8182906899999"/>
    <n v="122.83820709"/>
    <n v="148.47498346"/>
    <x v="0"/>
  </r>
  <r>
    <x v="0"/>
    <x v="3"/>
    <x v="0"/>
    <x v="0"/>
    <x v="5"/>
    <n v="227148"/>
    <n v="88.006005070000001"/>
    <n v="107.86483438"/>
    <n v="12.4111542"/>
    <n v="15.211769820000001"/>
    <x v="0"/>
  </r>
  <r>
    <x v="0"/>
    <x v="3"/>
    <x v="0"/>
    <x v="0"/>
    <x v="8"/>
    <n v="1624941"/>
    <n v="3275.14308811"/>
    <n v="3897.4202748600001"/>
    <n v="461.88104835000001"/>
    <n v="549.63844753000001"/>
    <x v="0"/>
  </r>
  <r>
    <x v="0"/>
    <x v="3"/>
    <x v="0"/>
    <x v="1"/>
    <x v="1"/>
    <n v="27523456"/>
    <n v="251.46243656999999"/>
    <n v="302.84448587000003"/>
    <n v="35.4627968"/>
    <n v="42.709012970000003"/>
    <x v="0"/>
  </r>
  <r>
    <x v="0"/>
    <x v="3"/>
    <x v="0"/>
    <x v="1"/>
    <x v="0"/>
    <n v="15290376"/>
    <n v="81.576355989999996"/>
    <n v="97.800791459999999"/>
    <n v="11.504405090000001"/>
    <n v="13.79247589"/>
    <x v="0"/>
  </r>
  <r>
    <x v="0"/>
    <x v="3"/>
    <x v="0"/>
    <x v="2"/>
    <x v="1"/>
    <n v="6984661"/>
    <n v="1080.2760212200001"/>
    <n v="1296.78674073"/>
    <n v="152.34724338999999"/>
    <n v="182.88093167"/>
    <x v="0"/>
  </r>
  <r>
    <x v="0"/>
    <x v="3"/>
    <x v="0"/>
    <x v="2"/>
    <x v="6"/>
    <n v="2970636"/>
    <n v="4392.1922694699997"/>
    <n v="5287.2549530899996"/>
    <n v="619.41427150000004"/>
    <n v="745.64157807000004"/>
    <x v="0"/>
  </r>
  <r>
    <x v="0"/>
    <x v="3"/>
    <x v="0"/>
    <x v="2"/>
    <x v="3"/>
    <n v="4319791"/>
    <n v="2817.2876686200002"/>
    <n v="3393.0003769999998"/>
    <n v="397.31142942000002"/>
    <n v="478.50201625"/>
    <x v="0"/>
  </r>
  <r>
    <x v="0"/>
    <x v="3"/>
    <x v="0"/>
    <x v="2"/>
    <x v="7"/>
    <n v="838593"/>
    <n v="2185.17933154"/>
    <n v="2654.3540749499998"/>
    <n v="308.16758026000002"/>
    <n v="374.33352065999998"/>
    <x v="0"/>
  </r>
  <r>
    <x v="0"/>
    <x v="3"/>
    <x v="0"/>
    <x v="2"/>
    <x v="4"/>
    <n v="79413"/>
    <n v="95.824460479999999"/>
    <n v="115.56052063"/>
    <n v="13.513761410000001"/>
    <n v="16.297063359999999"/>
    <x v="0"/>
  </r>
  <r>
    <x v="0"/>
    <x v="3"/>
    <x v="0"/>
    <x v="2"/>
    <x v="2"/>
    <n v="717976"/>
    <n v="152.9956492"/>
    <n v="185.10136152999999"/>
    <n v="21.576398019999999"/>
    <n v="26.104145259999999"/>
    <x v="0"/>
  </r>
  <r>
    <x v="0"/>
    <x v="3"/>
    <x v="0"/>
    <x v="2"/>
    <x v="5"/>
    <n v="271848"/>
    <n v="274.27432838999999"/>
    <n v="331.35866553"/>
    <n v="38.679871669999997"/>
    <n v="46.730259930000003"/>
    <x v="0"/>
  </r>
  <r>
    <x v="0"/>
    <x v="3"/>
    <x v="0"/>
    <x v="2"/>
    <x v="8"/>
    <n v="42410"/>
    <n v="212.72082574999999"/>
    <n v="212.72082574999999"/>
    <n v="29.999213879999999"/>
    <n v="29.999213879999999"/>
    <x v="0"/>
  </r>
  <r>
    <x v="0"/>
    <x v="4"/>
    <x v="0"/>
    <x v="0"/>
    <x v="1"/>
    <n v="179542623"/>
    <n v="6673.2851543500001"/>
    <n v="8065.64723306"/>
    <n v="941.10817759999998"/>
    <n v="1137.4677378599999"/>
    <x v="0"/>
  </r>
  <r>
    <x v="0"/>
    <x v="4"/>
    <x v="0"/>
    <x v="0"/>
    <x v="6"/>
    <n v="7620882"/>
    <n v="6241.8787647299996"/>
    <n v="7543.6734713699998"/>
    <n v="880.26856536000003"/>
    <n v="1063.85575152"/>
    <x v="0"/>
  </r>
  <r>
    <x v="0"/>
    <x v="4"/>
    <x v="0"/>
    <x v="0"/>
    <x v="0"/>
    <n v="2775334"/>
    <n v="32.448946640000003"/>
    <n v="39.109796830000001"/>
    <n v="4.5761522699999997"/>
    <n v="5.5155067999999998"/>
    <x v="0"/>
  </r>
  <r>
    <x v="0"/>
    <x v="4"/>
    <x v="0"/>
    <x v="0"/>
    <x v="3"/>
    <n v="25879937"/>
    <n v="6571.4426410200003"/>
    <n v="7913.9389814799997"/>
    <n v="926.74571294999998"/>
    <n v="1116.07289666"/>
    <x v="0"/>
  </r>
  <r>
    <x v="0"/>
    <x v="4"/>
    <x v="0"/>
    <x v="0"/>
    <x v="7"/>
    <n v="32197640"/>
    <n v="25466.994584020002"/>
    <n v="30381.524646530001"/>
    <n v="3591.5139706199998"/>
    <n v="4284.5915664300001"/>
    <x v="0"/>
  </r>
  <r>
    <x v="0"/>
    <x v="4"/>
    <x v="0"/>
    <x v="0"/>
    <x v="4"/>
    <n v="6661106"/>
    <n v="2955.2730798399998"/>
    <n v="3560.0426027399999"/>
    <n v="416.77099032000001"/>
    <n v="502.05934986"/>
    <x v="0"/>
  </r>
  <r>
    <x v="0"/>
    <x v="4"/>
    <x v="0"/>
    <x v="0"/>
    <x v="2"/>
    <n v="13312052"/>
    <n v="1594.2671846400001"/>
    <n v="1926.9964897"/>
    <n v="224.83347406999999"/>
    <n v="271.75703011000002"/>
    <x v="0"/>
  </r>
  <r>
    <x v="0"/>
    <x v="4"/>
    <x v="0"/>
    <x v="0"/>
    <x v="5"/>
    <n v="42775"/>
    <n v="14.076986339999999"/>
    <n v="17.242515409999999"/>
    <n v="1.98522417"/>
    <n v="2.43164676"/>
    <x v="0"/>
  </r>
  <r>
    <x v="0"/>
    <x v="4"/>
    <x v="0"/>
    <x v="0"/>
    <x v="8"/>
    <n v="3847403"/>
    <n v="6860.12073435"/>
    <n v="8163.5436738799999"/>
    <n v="967.45689313000003"/>
    <n v="1151.2737028199999"/>
    <x v="0"/>
  </r>
  <r>
    <x v="0"/>
    <x v="4"/>
    <x v="0"/>
    <x v="1"/>
    <x v="1"/>
    <n v="12326386"/>
    <n v="103.85935773"/>
    <n v="125.08124165"/>
    <n v="14.64689259"/>
    <n v="17.639734650000001"/>
    <x v="0"/>
  </r>
  <r>
    <x v="0"/>
    <x v="4"/>
    <x v="0"/>
    <x v="1"/>
    <x v="0"/>
    <n v="4426433"/>
    <n v="22.5304489"/>
    <n v="27.0114509"/>
    <n v="3.1773840299999998"/>
    <n v="3.8093228099999998"/>
    <x v="0"/>
  </r>
  <r>
    <x v="0"/>
    <x v="4"/>
    <x v="0"/>
    <x v="2"/>
    <x v="1"/>
    <n v="6612162"/>
    <n v="923.95995733999996"/>
    <n v="1109.0243364"/>
    <n v="130.30257983999999"/>
    <n v="156.4015096"/>
    <x v="0"/>
  </r>
  <r>
    <x v="0"/>
    <x v="4"/>
    <x v="0"/>
    <x v="2"/>
    <x v="6"/>
    <n v="3242556"/>
    <n v="4045.4829393300001"/>
    <n v="4869.3456465600002"/>
    <n v="570.51916537"/>
    <n v="686.70540843000003"/>
    <x v="0"/>
  </r>
  <r>
    <x v="0"/>
    <x v="4"/>
    <x v="0"/>
    <x v="2"/>
    <x v="3"/>
    <n v="4840001"/>
    <n v="2877.0931606600002"/>
    <n v="3465.6919311299998"/>
    <n v="405.74557186999999"/>
    <n v="488.75343133000001"/>
    <x v="0"/>
  </r>
  <r>
    <x v="0"/>
    <x v="4"/>
    <x v="0"/>
    <x v="2"/>
    <x v="7"/>
    <n v="1211884"/>
    <n v="2753.0140817699998"/>
    <n v="3344.10729631"/>
    <n v="388.24716844"/>
    <n v="471.60680991999999"/>
    <x v="0"/>
  </r>
  <r>
    <x v="0"/>
    <x v="4"/>
    <x v="0"/>
    <x v="2"/>
    <x v="4"/>
    <n v="112085"/>
    <n v="120.30129701"/>
    <n v="145.08503868"/>
    <n v="16.965637130000001"/>
    <n v="20.460794530000001"/>
    <x v="0"/>
  </r>
  <r>
    <x v="0"/>
    <x v="4"/>
    <x v="0"/>
    <x v="2"/>
    <x v="2"/>
    <n v="1217892"/>
    <n v="204.64053978000001"/>
    <n v="247.58378906999999"/>
    <n v="28.859681699999999"/>
    <n v="34.915805800000001"/>
    <x v="0"/>
  </r>
  <r>
    <x v="0"/>
    <x v="4"/>
    <x v="0"/>
    <x v="2"/>
    <x v="5"/>
    <n v="37027"/>
    <n v="30.33073662"/>
    <n v="36.638242259999998"/>
    <n v="4.2774291199999999"/>
    <n v="5.1669527999999998"/>
    <x v="0"/>
  </r>
  <r>
    <x v="0"/>
    <x v="4"/>
    <x v="0"/>
    <x v="2"/>
    <x v="8"/>
    <n v="131469"/>
    <n v="581.44312706999995"/>
    <n v="581.44312706999995"/>
    <n v="81.998726120000001"/>
    <n v="81.998726120000001"/>
    <x v="0"/>
  </r>
  <r>
    <x v="0"/>
    <x v="5"/>
    <x v="0"/>
    <x v="0"/>
    <x v="1"/>
    <n v="164113252"/>
    <n v="5624.4796854899996"/>
    <n v="6798.0073533100003"/>
    <n v="793.19910722999998"/>
    <n v="958.69727780999995"/>
    <x v="0"/>
  </r>
  <r>
    <x v="0"/>
    <x v="5"/>
    <x v="0"/>
    <x v="0"/>
    <x v="6"/>
    <n v="9245987"/>
    <n v="6498.0491512099998"/>
    <n v="7861.7660722299997"/>
    <n v="916.39530653999998"/>
    <n v="1108.7151484999999"/>
    <x v="0"/>
  </r>
  <r>
    <x v="0"/>
    <x v="5"/>
    <x v="0"/>
    <x v="0"/>
    <x v="3"/>
    <n v="32559607"/>
    <n v="6840.3518787399998"/>
    <n v="8237.5041717700005"/>
    <n v="964.66896615999997"/>
    <n v="1161.70407224"/>
    <x v="0"/>
  </r>
  <r>
    <x v="0"/>
    <x v="5"/>
    <x v="0"/>
    <x v="0"/>
    <x v="7"/>
    <n v="39659230"/>
    <n v="29454.01588993"/>
    <n v="35137.947147500003"/>
    <n v="4153.7885128400003"/>
    <n v="4955.3718505300003"/>
    <x v="0"/>
  </r>
  <r>
    <x v="0"/>
    <x v="5"/>
    <x v="0"/>
    <x v="0"/>
    <x v="4"/>
    <n v="7032637"/>
    <n v="2627.72500593"/>
    <n v="3164.3388841400001"/>
    <n v="370.57812372000001"/>
    <n v="446.25475034999999"/>
    <x v="0"/>
  </r>
  <r>
    <x v="0"/>
    <x v="5"/>
    <x v="0"/>
    <x v="0"/>
    <x v="2"/>
    <n v="21213150"/>
    <n v="2151.3077989399999"/>
    <n v="2600.2934870399999"/>
    <n v="303.39080607"/>
    <n v="366.70956030999997"/>
    <x v="0"/>
  </r>
  <r>
    <x v="0"/>
    <x v="5"/>
    <x v="0"/>
    <x v="0"/>
    <x v="8"/>
    <n v="7787815"/>
    <n v="12715.06653041"/>
    <n v="15130.92917119"/>
    <n v="1793.1577646799999"/>
    <n v="2133.8577399699998"/>
    <x v="0"/>
  </r>
  <r>
    <x v="0"/>
    <x v="5"/>
    <x v="0"/>
    <x v="1"/>
    <x v="1"/>
    <n v="4657747"/>
    <n v="36.575357220000001"/>
    <n v="44.048906080000002"/>
    <n v="5.1580843600000001"/>
    <n v="6.2120506999999998"/>
    <x v="0"/>
  </r>
  <r>
    <x v="0"/>
    <x v="5"/>
    <x v="0"/>
    <x v="2"/>
    <x v="1"/>
    <n v="6289867"/>
    <n v="798.01559354999995"/>
    <n v="957.85397088000002"/>
    <n v="112.54112234"/>
    <n v="135.08252443999999"/>
    <x v="0"/>
  </r>
  <r>
    <x v="0"/>
    <x v="5"/>
    <x v="0"/>
    <x v="2"/>
    <x v="6"/>
    <n v="3352529"/>
    <n v="3582.0723777500002"/>
    <n v="4311.0707180700001"/>
    <n v="505.16612574999999"/>
    <n v="607.97400576999996"/>
    <x v="0"/>
  </r>
  <r>
    <x v="0"/>
    <x v="5"/>
    <x v="0"/>
    <x v="2"/>
    <x v="3"/>
    <n v="5626310"/>
    <n v="2990.7348305800001"/>
    <n v="3602.7709117300001"/>
    <n v="421.77202697000001"/>
    <n v="508.08516175"/>
    <x v="0"/>
  </r>
  <r>
    <x v="0"/>
    <x v="5"/>
    <x v="0"/>
    <x v="2"/>
    <x v="7"/>
    <n v="1714509"/>
    <n v="3321.5159756500002"/>
    <n v="4034.6709021699999"/>
    <n v="468.42084137000001"/>
    <n v="568.99438464000002"/>
    <x v="0"/>
  </r>
  <r>
    <x v="0"/>
    <x v="5"/>
    <x v="0"/>
    <x v="2"/>
    <x v="4"/>
    <n v="167682"/>
    <n v="160.80419128"/>
    <n v="193.94027955999999"/>
    <n v="22.67760719"/>
    <n v="27.35066445"/>
    <x v="0"/>
  </r>
  <r>
    <x v="0"/>
    <x v="5"/>
    <x v="0"/>
    <x v="2"/>
    <x v="2"/>
    <n v="1415935"/>
    <n v="241.19982557"/>
    <n v="291.81493949999998"/>
    <n v="34.015499570000003"/>
    <n v="41.153557739999997"/>
    <x v="0"/>
  </r>
  <r>
    <x v="0"/>
    <x v="5"/>
    <x v="0"/>
    <x v="2"/>
    <x v="8"/>
    <n v="309220"/>
    <n v="1223.77166225"/>
    <n v="1223.77166225"/>
    <n v="172.58389116999999"/>
    <n v="172.58389116999999"/>
    <x v="0"/>
  </r>
  <r>
    <x v="0"/>
    <x v="6"/>
    <x v="0"/>
    <x v="0"/>
    <x v="1"/>
    <n v="139409980"/>
    <n v="4585.2263937099997"/>
    <n v="5541.68734322"/>
    <n v="646.63714429000004"/>
    <n v="781.52321618999997"/>
    <x v="0"/>
  </r>
  <r>
    <x v="0"/>
    <x v="6"/>
    <x v="0"/>
    <x v="0"/>
    <x v="6"/>
    <n v="10475253"/>
    <n v="6412.2631623400002"/>
    <n v="7768.1443154999997"/>
    <n v="904.29723282999998"/>
    <n v="1095.5120260799999"/>
    <x v="0"/>
  </r>
  <r>
    <x v="0"/>
    <x v="6"/>
    <x v="0"/>
    <x v="0"/>
    <x v="3"/>
    <n v="39558106"/>
    <n v="7217.7655473900004"/>
    <n v="8691.8694830299992"/>
    <n v="1017.89418907"/>
    <n v="1225.7814943999999"/>
    <x v="0"/>
  </r>
  <r>
    <x v="0"/>
    <x v="6"/>
    <x v="0"/>
    <x v="0"/>
    <x v="7"/>
    <n v="40684627"/>
    <n v="31106.23490671"/>
    <n v="37109.005515390003"/>
    <n v="4386.7947147200002"/>
    <n v="5233.3427607599997"/>
    <x v="0"/>
  </r>
  <r>
    <x v="0"/>
    <x v="6"/>
    <x v="0"/>
    <x v="0"/>
    <x v="4"/>
    <n v="8139633"/>
    <n v="2250.3301676400001"/>
    <n v="2708.5818683000002"/>
    <n v="317.35555638"/>
    <n v="381.98106135"/>
    <x v="0"/>
  </r>
  <r>
    <x v="0"/>
    <x v="6"/>
    <x v="0"/>
    <x v="0"/>
    <x v="2"/>
    <n v="29851805"/>
    <n v="2703.2421831699999"/>
    <n v="3267.4185656999998"/>
    <n v="381.22802574000002"/>
    <n v="460.79168815000003"/>
    <x v="0"/>
  </r>
  <r>
    <x v="0"/>
    <x v="6"/>
    <x v="0"/>
    <x v="0"/>
    <x v="8"/>
    <n v="13694069"/>
    <n v="21110.028737019999"/>
    <n v="25120.934197049999"/>
    <n v="2977.0675483199998"/>
    <n v="3542.7103824999999"/>
    <x v="0"/>
  </r>
  <r>
    <x v="0"/>
    <x v="6"/>
    <x v="0"/>
    <x v="1"/>
    <x v="1"/>
    <n v="1480180"/>
    <n v="11.22271033"/>
    <n v="13.5158793"/>
    <n v="1.5826964100000001"/>
    <n v="1.9060933600000001"/>
    <x v="0"/>
  </r>
  <r>
    <x v="0"/>
    <x v="6"/>
    <x v="0"/>
    <x v="2"/>
    <x v="1"/>
    <n v="5529877"/>
    <n v="668.35198931000002"/>
    <n v="802.21942037999997"/>
    <n v="94.255154410000003"/>
    <n v="113.13397214"/>
    <x v="0"/>
  </r>
  <r>
    <x v="0"/>
    <x v="6"/>
    <x v="0"/>
    <x v="2"/>
    <x v="6"/>
    <n v="3572005"/>
    <n v="2987.0716004199999"/>
    <n v="3594.37882971"/>
    <n v="421.25541547"/>
    <n v="506.90165815"/>
    <x v="0"/>
  </r>
  <r>
    <x v="0"/>
    <x v="6"/>
    <x v="0"/>
    <x v="2"/>
    <x v="3"/>
    <n v="5582340"/>
    <n v="3024.6753584500002"/>
    <n v="3643.6982464500002"/>
    <n v="426.55853130000003"/>
    <n v="513.85698904000003"/>
    <x v="0"/>
  </r>
  <r>
    <x v="0"/>
    <x v="6"/>
    <x v="0"/>
    <x v="2"/>
    <x v="7"/>
    <n v="2322725"/>
    <n v="3509.65495538"/>
    <n v="4263.2047622"/>
    <n v="494.95337044000001"/>
    <n v="601.22365096999999"/>
    <x v="0"/>
  </r>
  <r>
    <x v="0"/>
    <x v="6"/>
    <x v="0"/>
    <x v="2"/>
    <x v="4"/>
    <n v="204253"/>
    <n v="186.32198650000001"/>
    <n v="224.72152367000001"/>
    <n v="26.276285380000001"/>
    <n v="31.69162695"/>
    <x v="0"/>
  </r>
  <r>
    <x v="0"/>
    <x v="6"/>
    <x v="0"/>
    <x v="2"/>
    <x v="2"/>
    <n v="1767538"/>
    <n v="267.11149420999999"/>
    <n v="323.16409987999998"/>
    <n v="37.669724240000001"/>
    <n v="45.574611320000002"/>
    <x v="0"/>
  </r>
  <r>
    <x v="0"/>
    <x v="6"/>
    <x v="0"/>
    <x v="2"/>
    <x v="8"/>
    <n v="557026"/>
    <n v="2094.1275445299998"/>
    <n v="2094.1275445299998"/>
    <n v="295.32689095000001"/>
    <n v="295.32689095000001"/>
    <x v="0"/>
  </r>
  <r>
    <x v="0"/>
    <x v="7"/>
    <x v="0"/>
    <x v="0"/>
    <x v="1"/>
    <n v="113917829"/>
    <n v="3779.83678715"/>
    <n v="4568.0670704499998"/>
    <n v="533.05609277999997"/>
    <n v="644.21722980000004"/>
    <x v="0"/>
  </r>
  <r>
    <x v="0"/>
    <x v="7"/>
    <x v="0"/>
    <x v="0"/>
    <x v="6"/>
    <n v="10043048"/>
    <n v="5973.8572788199999"/>
    <n v="7249.6185143700004"/>
    <n v="842.47050843"/>
    <n v="1022.38629259"/>
    <x v="0"/>
  </r>
  <r>
    <x v="0"/>
    <x v="7"/>
    <x v="0"/>
    <x v="0"/>
    <x v="3"/>
    <n v="41294360"/>
    <n v="7650.5760224400001"/>
    <n v="9213.0341635299992"/>
    <n v="1078.9318141700001"/>
    <n v="1299.2793790799999"/>
    <x v="0"/>
  </r>
  <r>
    <x v="0"/>
    <x v="7"/>
    <x v="0"/>
    <x v="0"/>
    <x v="7"/>
    <n v="43978197"/>
    <n v="31742.876224539999"/>
    <n v="37868.503611059998"/>
    <n v="4476.5778330100002"/>
    <n v="5340.4519059800004"/>
    <x v="0"/>
  </r>
  <r>
    <x v="0"/>
    <x v="7"/>
    <x v="0"/>
    <x v="0"/>
    <x v="4"/>
    <n v="7174972"/>
    <n v="1690.0075698000001"/>
    <n v="2032.60822575"/>
    <n v="238.33537866"/>
    <n v="286.65105398999998"/>
    <x v="0"/>
  </r>
  <r>
    <x v="0"/>
    <x v="7"/>
    <x v="0"/>
    <x v="0"/>
    <x v="2"/>
    <n v="34705075"/>
    <n v="3192.2414404000001"/>
    <n v="3858.4737296200001"/>
    <n v="450.18974236999998"/>
    <n v="544.14596348999999"/>
    <x v="0"/>
  </r>
  <r>
    <x v="0"/>
    <x v="7"/>
    <x v="0"/>
    <x v="0"/>
    <x v="8"/>
    <n v="21407304"/>
    <n v="31153.729611909999"/>
    <n v="37072.938238169998"/>
    <n v="4393.4927134400004"/>
    <n v="5228.2563289999998"/>
    <x v="0"/>
  </r>
  <r>
    <x v="0"/>
    <x v="7"/>
    <x v="0"/>
    <x v="1"/>
    <x v="1"/>
    <n v="389589"/>
    <n v="3.0003909200000001"/>
    <n v="3.6134695099999998"/>
    <n v="0.42313379000000001"/>
    <n v="0.50959394000000002"/>
    <x v="0"/>
  </r>
  <r>
    <x v="0"/>
    <x v="7"/>
    <x v="0"/>
    <x v="2"/>
    <x v="1"/>
    <n v="4271437"/>
    <n v="524.38718602999995"/>
    <n v="629.41921496999998"/>
    <n v="73.952342450000003"/>
    <n v="88.76461243"/>
    <x v="0"/>
  </r>
  <r>
    <x v="0"/>
    <x v="7"/>
    <x v="0"/>
    <x v="2"/>
    <x v="6"/>
    <n v="2833808"/>
    <n v="2286.2488836799998"/>
    <n v="2750.3203453199999"/>
    <n v="322.42103711999999"/>
    <n v="387.86728097999998"/>
    <x v="0"/>
  </r>
  <r>
    <x v="0"/>
    <x v="7"/>
    <x v="0"/>
    <x v="2"/>
    <x v="3"/>
    <n v="5532562"/>
    <n v="3044.4551277800001"/>
    <n v="3667.5350973499999"/>
    <n v="429.3479974"/>
    <n v="517.21861001000002"/>
    <x v="0"/>
  </r>
  <r>
    <x v="0"/>
    <x v="7"/>
    <x v="0"/>
    <x v="2"/>
    <x v="7"/>
    <n v="2494930"/>
    <n v="3558.909584"/>
    <n v="4323.0347369199999"/>
    <n v="501.89956451"/>
    <n v="609.66124612999999"/>
    <x v="0"/>
  </r>
  <r>
    <x v="0"/>
    <x v="7"/>
    <x v="0"/>
    <x v="2"/>
    <x v="4"/>
    <n v="230157"/>
    <n v="212.53184493000001"/>
    <n v="256.33651099000002"/>
    <n v="29.972562629999999"/>
    <n v="36.150169089999999"/>
    <x v="0"/>
  </r>
  <r>
    <x v="0"/>
    <x v="7"/>
    <x v="0"/>
    <x v="2"/>
    <x v="2"/>
    <n v="2108172"/>
    <n v="288.96693655000001"/>
    <n v="349.60584613999998"/>
    <n v="40.751914650000003"/>
    <n v="49.303590829999997"/>
    <x v="0"/>
  </r>
  <r>
    <x v="0"/>
    <x v="7"/>
    <x v="0"/>
    <x v="2"/>
    <x v="8"/>
    <n v="882135"/>
    <n v="3130.7927201000002"/>
    <n v="3130.7927201000002"/>
    <n v="441.52386165000001"/>
    <n v="441.52386165000001"/>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n v="507.69272925999996"/>
    <n v="70.896572631324119"/>
    <x v="0"/>
  </r>
  <r>
    <x v="0"/>
    <x v="1"/>
    <x v="0"/>
    <n v="575.29594376"/>
    <n v="74.066246739999997"/>
    <x v="0"/>
  </r>
  <r>
    <x v="0"/>
    <x v="2"/>
    <x v="0"/>
    <n v="636.62074794"/>
    <n v="81.745796220000003"/>
    <x v="0"/>
  </r>
  <r>
    <x v="0"/>
    <x v="3"/>
    <x v="0"/>
    <n v="696.69174770999996"/>
    <n v="88.945175989999996"/>
    <x v="0"/>
  </r>
  <r>
    <x v="0"/>
    <x v="4"/>
    <x v="0"/>
    <n v="752.96717965000005"/>
    <n v="96.095465419999996"/>
    <x v="0"/>
  </r>
  <r>
    <x v="0"/>
    <x v="5"/>
    <x v="0"/>
    <n v="807.63774974"/>
    <n v="96.09546541999999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9354C6-7590-47F2-8A07-EBBE052A9AD1}" name="PivotTable1" cacheId="1"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2:J44" firstHeaderRow="1" firstDataRow="2" firstDataCol="2" rowPageCount="3" colPageCount="1"/>
  <pivotFields count="11">
    <pivotField axis="axisPage" compact="0" outline="0" showAll="0" defaultSubtotal="0">
      <items count="2">
        <item x="0"/>
        <item m="1" x="1"/>
      </items>
    </pivotField>
    <pivotField axis="axisCol" compact="0" outline="0" multipleItemSelectionAllowed="1" showAll="0" sortType="ascending" defaultSubtotal="0">
      <items count="8">
        <item h="1" x="0"/>
        <item x="1"/>
        <item x="2"/>
        <item x="3"/>
        <item x="4"/>
        <item x="5"/>
        <item x="6"/>
        <item x="7"/>
      </items>
    </pivotField>
    <pivotField axis="axisPage" compact="0" outline="0" showAll="0" defaultSubtotal="0">
      <items count="2">
        <item x="0"/>
        <item m="1" x="1"/>
      </items>
    </pivotField>
    <pivotField axis="axisRow" compact="0" outline="0" showAll="0" defaultSubtotal="0">
      <items count="4">
        <item x="0"/>
        <item x="1"/>
        <item x="2"/>
        <item m="1" x="3"/>
      </items>
    </pivotField>
    <pivotField axis="axisRow" compact="0" outline="0" subtotalTop="0" showAll="0" defaultSubtotal="0">
      <items count="10">
        <item x="0"/>
        <item x="1"/>
        <item x="2"/>
        <item x="3"/>
        <item x="4"/>
        <item x="5"/>
        <item x="6"/>
        <item x="7"/>
        <item x="8"/>
        <item m="1" x="9"/>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2">
        <item m="1" x="1"/>
        <item x="0"/>
      </items>
    </pivotField>
  </pivotFields>
  <rowFields count="2">
    <field x="3"/>
    <field x="4"/>
  </rowFields>
  <rowItems count="21">
    <i>
      <x/>
      <x/>
    </i>
    <i r="1">
      <x v="1"/>
    </i>
    <i r="1">
      <x v="2"/>
    </i>
    <i r="1">
      <x v="3"/>
    </i>
    <i r="1">
      <x v="4"/>
    </i>
    <i r="1">
      <x v="5"/>
    </i>
    <i r="1">
      <x v="6"/>
    </i>
    <i r="1">
      <x v="7"/>
    </i>
    <i r="1">
      <x v="8"/>
    </i>
    <i>
      <x v="1"/>
      <x/>
    </i>
    <i r="1">
      <x v="1"/>
    </i>
    <i>
      <x v="2"/>
      <x/>
    </i>
    <i r="1">
      <x v="1"/>
    </i>
    <i r="1">
      <x v="2"/>
    </i>
    <i r="1">
      <x v="3"/>
    </i>
    <i r="1">
      <x v="4"/>
    </i>
    <i r="1">
      <x v="5"/>
    </i>
    <i r="1">
      <x v="6"/>
    </i>
    <i r="1">
      <x v="7"/>
    </i>
    <i r="1">
      <x v="8"/>
    </i>
    <i t="grand">
      <x/>
    </i>
  </rowItems>
  <colFields count="1">
    <field x="1"/>
  </colFields>
  <colItems count="7">
    <i>
      <x v="1"/>
    </i>
    <i>
      <x v="2"/>
    </i>
    <i>
      <x v="3"/>
    </i>
    <i>
      <x v="4"/>
    </i>
    <i>
      <x v="5"/>
    </i>
    <i>
      <x v="6"/>
    </i>
    <i>
      <x v="7"/>
    </i>
  </colItems>
  <pageFields count="3">
    <pageField fld="0" item="0" hier="-1"/>
    <pageField fld="2" item="0" hier="-1"/>
    <pageField fld="10" item="1" hier="-1"/>
  </pageFields>
  <dataFields count="1">
    <dataField name="Sum of Vendor Revenue (CNY M)" fld="6" baseField="0" baseItem="0"/>
  </dataFields>
  <formats count="22">
    <format dxfId="56">
      <pivotArea outline="0" collapsedLevelsAreSubtotals="1" fieldPosition="0"/>
    </format>
    <format dxfId="55">
      <pivotArea type="all" dataOnly="0" outline="0" fieldPosition="0"/>
    </format>
    <format dxfId="54">
      <pivotArea outline="0" collapsedLevelsAreSubtotals="1" fieldPosition="0"/>
    </format>
    <format dxfId="53">
      <pivotArea type="origin" dataOnly="0" labelOnly="1" outline="0" fieldPosition="0"/>
    </format>
    <format dxfId="52">
      <pivotArea type="topRight" dataOnly="0" labelOnly="1" outline="0" fieldPosition="0"/>
    </format>
    <format dxfId="51">
      <pivotArea field="3" type="button" dataOnly="0" labelOnly="1" outline="0" axis="axisRow" fieldPosition="0"/>
    </format>
    <format dxfId="50">
      <pivotArea dataOnly="0" labelOnly="1" outline="0" fieldPosition="0">
        <references count="1">
          <reference field="3" count="0"/>
        </references>
      </pivotArea>
    </format>
    <format dxfId="49">
      <pivotArea dataOnly="0" labelOnly="1" grandRow="1" outline="0" fieldPosition="0"/>
    </format>
    <format dxfId="48">
      <pivotArea type="all" dataOnly="0" outline="0" fieldPosition="0"/>
    </format>
    <format dxfId="47">
      <pivotArea outline="0" collapsedLevelsAreSubtotals="1" fieldPosition="0"/>
    </format>
    <format dxfId="46">
      <pivotArea type="origin" dataOnly="0" labelOnly="1" outline="0" fieldPosition="0"/>
    </format>
    <format dxfId="45">
      <pivotArea type="topRight" dataOnly="0" labelOnly="1" outline="0" fieldPosition="0"/>
    </format>
    <format dxfId="44">
      <pivotArea field="3" type="button" dataOnly="0" labelOnly="1" outline="0" axis="axisRow" fieldPosition="0"/>
    </format>
    <format dxfId="43">
      <pivotArea dataOnly="0" labelOnly="1" outline="0" fieldPosition="0">
        <references count="1">
          <reference field="3" count="0"/>
        </references>
      </pivotArea>
    </format>
    <format dxfId="42">
      <pivotArea dataOnly="0" labelOnly="1" grandRow="1" outline="0" fieldPosition="0"/>
    </format>
    <format dxfId="41">
      <pivotArea type="all" dataOnly="0" outline="0" fieldPosition="0"/>
    </format>
    <format dxfId="40">
      <pivotArea outline="0" collapsedLevelsAreSubtotals="1" fieldPosition="0"/>
    </format>
    <format dxfId="39">
      <pivotArea type="origin" dataOnly="0" labelOnly="1" outline="0" fieldPosition="0"/>
    </format>
    <format dxfId="38">
      <pivotArea type="topRight" dataOnly="0" labelOnly="1" outline="0" fieldPosition="0"/>
    </format>
    <format dxfId="37">
      <pivotArea field="3" type="button" dataOnly="0" labelOnly="1" outline="0" axis="axisRow" fieldPosition="0"/>
    </format>
    <format dxfId="36">
      <pivotArea dataOnly="0" labelOnly="1" outline="0" fieldPosition="0">
        <references count="1">
          <reference field="3" count="0"/>
        </references>
      </pivotArea>
    </format>
    <format dxfId="35">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AA7067-E789-4493-9EB0-8BB5A49977A3}" name="PivotTable2" cacheId="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2:K57" firstHeaderRow="1" firstDataRow="2" firstDataCol="3" rowPageCount="3" colPageCount="1"/>
  <pivotFields count="12">
    <pivotField axis="axisPage" compact="0" outline="0" showAll="0" defaultSubtotal="0">
      <items count="1">
        <item x="0"/>
      </items>
    </pivotField>
    <pivotField axis="axisCol" compact="0" outline="0" multipleItemSelectionAllowed="1" showAll="0" sortType="ascending" defaultSubtotal="0">
      <items count="8">
        <item h="1" x="0"/>
        <item x="1"/>
        <item x="2"/>
        <item x="3"/>
        <item x="4"/>
        <item x="5"/>
        <item x="6"/>
        <item x="7"/>
      </items>
    </pivotField>
    <pivotField axis="axisPage" compact="0" outline="0" showAll="0" defaultSubtotal="0">
      <items count="1">
        <item x="0"/>
      </items>
    </pivotField>
    <pivotField axis="axisRow" compact="0" outline="0" subtotalTop="0" showAll="0">
      <items count="3">
        <item x="1"/>
        <item x="0"/>
        <item t="default"/>
      </items>
    </pivotField>
    <pivotField axis="axisRow" compact="0" outline="0" subtotalTop="0" showAll="0" defaultSubtotal="0">
      <items count="3">
        <item x="0"/>
        <item x="2"/>
        <item x="1"/>
      </items>
    </pivotField>
    <pivotField axis="axisRow" compact="0" outline="0" subtotalTop="0" showAll="0" defaultSubtotal="0">
      <items count="9">
        <item x="0"/>
        <item x="1"/>
        <item x="2"/>
        <item x="3"/>
        <item x="4"/>
        <item x="5"/>
        <item x="6"/>
        <item x="7"/>
        <item x="8"/>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3">
        <item m="1" x="2"/>
        <item m="1" x="1"/>
        <item x="0"/>
      </items>
    </pivotField>
  </pivotFields>
  <rowFields count="3">
    <field x="3"/>
    <field x="4"/>
    <field x="5"/>
  </rowFields>
  <rowItems count="34">
    <i>
      <x/>
      <x/>
      <x v="1"/>
    </i>
    <i r="2">
      <x v="3"/>
    </i>
    <i r="2">
      <x v="4"/>
    </i>
    <i r="2">
      <x v="5"/>
    </i>
    <i r="2">
      <x v="6"/>
    </i>
    <i r="2">
      <x v="7"/>
    </i>
    <i r="2">
      <x v="8"/>
    </i>
    <i r="1">
      <x v="2"/>
      <x v="1"/>
    </i>
    <i r="2">
      <x v="3"/>
    </i>
    <i r="2">
      <x v="4"/>
    </i>
    <i r="2">
      <x v="5"/>
    </i>
    <i r="2">
      <x v="6"/>
    </i>
    <i r="2">
      <x v="7"/>
    </i>
    <i r="2">
      <x v="8"/>
    </i>
    <i t="default">
      <x/>
    </i>
    <i>
      <x v="1"/>
      <x/>
      <x/>
    </i>
    <i r="2">
      <x v="1"/>
    </i>
    <i r="2">
      <x v="2"/>
    </i>
    <i r="2">
      <x v="3"/>
    </i>
    <i r="2">
      <x v="4"/>
    </i>
    <i r="2">
      <x v="5"/>
    </i>
    <i r="2">
      <x v="6"/>
    </i>
    <i r="1">
      <x v="1"/>
      <x/>
    </i>
    <i r="2">
      <x v="1"/>
    </i>
    <i r="1">
      <x v="2"/>
      <x/>
    </i>
    <i r="2">
      <x v="1"/>
    </i>
    <i r="2">
      <x v="2"/>
    </i>
    <i r="2">
      <x v="3"/>
    </i>
    <i r="2">
      <x v="4"/>
    </i>
    <i r="2">
      <x v="5"/>
    </i>
    <i r="2">
      <x v="6"/>
    </i>
    <i r="2">
      <x v="7"/>
    </i>
    <i t="default">
      <x v="1"/>
    </i>
    <i t="grand">
      <x/>
    </i>
  </rowItems>
  <colFields count="1">
    <field x="1"/>
  </colFields>
  <colItems count="7">
    <i>
      <x v="1"/>
    </i>
    <i>
      <x v="2"/>
    </i>
    <i>
      <x v="3"/>
    </i>
    <i>
      <x v="4"/>
    </i>
    <i>
      <x v="5"/>
    </i>
    <i>
      <x v="6"/>
    </i>
    <i>
      <x v="7"/>
    </i>
  </colItems>
  <pageFields count="3">
    <pageField fld="0" item="0" hier="-1"/>
    <pageField fld="2" item="0" hier="-1"/>
    <pageField fld="11" item="2" hier="-1"/>
  </pageFields>
  <dataFields count="1">
    <dataField name="Sum of Vendor Revenue (CNY M)" fld="7" baseField="0" baseItem="0"/>
  </dataFields>
  <formats count="19">
    <format dxfId="34">
      <pivotArea outline="0" collapsedLevelsAreSubtotals="1" fieldPosition="0"/>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type="topRight" dataOnly="0" labelOnly="1" outline="0" fieldPosition="0"/>
    </format>
    <format dxfId="29">
      <pivotArea dataOnly="0" labelOnly="1" grandRow="1" outline="0" fieldPosition="0"/>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type="topRight" dataOnly="0" labelOnly="1" outline="0" fieldPosition="0"/>
    </format>
    <format dxfId="24">
      <pivotArea dataOnly="0" labelOnly="1" grandRow="1" outline="0" fieldPosition="0"/>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type="topRight" dataOnly="0" labelOnly="1" outline="0" fieldPosition="0"/>
    </format>
    <format dxfId="19">
      <pivotArea dataOnly="0" labelOnly="1" grandRow="1" outline="0" fieldPosition="0"/>
    </format>
    <format dxfId="18">
      <pivotArea dataOnly="0" labelOnly="1" outline="0" fieldPosition="0">
        <references count="2">
          <reference field="3" count="1" selected="0">
            <x v="0"/>
          </reference>
          <reference field="4" count="2">
            <x v="0"/>
            <x v="2"/>
          </reference>
        </references>
      </pivotArea>
    </format>
    <format dxfId="17">
      <pivotArea dataOnly="0" labelOnly="1" outline="0" fieldPosition="0">
        <references count="2">
          <reference field="3" count="1" selected="0">
            <x v="1"/>
          </reference>
          <reference field="4" count="2">
            <x v="0"/>
            <x v="2"/>
          </reference>
        </references>
      </pivotArea>
    </format>
    <format dxfId="16">
      <pivotArea dataOnly="0" labelOnly="1" outline="0" fieldPosition="0">
        <references count="2">
          <reference field="3" count="1" selected="0">
            <x v="1"/>
          </reference>
          <reference field="4" count="1">
            <x v="1"/>
          </reference>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CCA4D9-A29B-4807-93EF-3C740E298887}" name="PivotTable1" cacheId="2"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1:H24" firstHeaderRow="1" firstDataRow="2" firstDataCol="1" rowPageCount="2" colPageCount="1"/>
  <pivotFields count="6">
    <pivotField axis="axisPage" compact="0" outline="0" showAll="0" defaultSubtotal="0">
      <items count="1">
        <item x="0"/>
      </items>
    </pivotField>
    <pivotField axis="axisCol" compact="0" outline="0" multipleItemSelectionAllowed="1" showAll="0" sortType="ascending" defaultSubtotal="0">
      <items count="6">
        <item x="0"/>
        <item x="1"/>
        <item x="2"/>
        <item x="3"/>
        <item x="4"/>
        <item x="5"/>
      </items>
    </pivotField>
    <pivotField axis="axisRow" compact="0" outline="0" showAll="0" defaultSubtotal="0">
      <items count="1">
        <item x="0"/>
      </items>
    </pivotField>
    <pivotField dataField="1" compact="0" outline="0" subtotalTop="0" showAll="0" defaultSubtotal="0"/>
    <pivotField compact="0" outline="0" subtotalTop="0" showAll="0" defaultSubtotal="0"/>
    <pivotField axis="axisPage" compact="0" outline="0" subtotalTop="0" showAll="0" defaultSubtotal="0">
      <items count="4">
        <item m="1" x="2"/>
        <item m="1" x="3"/>
        <item m="1" x="1"/>
        <item x="0"/>
      </items>
    </pivotField>
  </pivotFields>
  <rowFields count="1">
    <field x="2"/>
  </rowFields>
  <rowItems count="2">
    <i>
      <x/>
    </i>
    <i t="grand">
      <x/>
    </i>
  </rowItems>
  <colFields count="1">
    <field x="1"/>
  </colFields>
  <colItems count="6">
    <i>
      <x/>
    </i>
    <i>
      <x v="1"/>
    </i>
    <i>
      <x v="2"/>
    </i>
    <i>
      <x v="3"/>
    </i>
    <i>
      <x v="4"/>
    </i>
    <i>
      <x v="5"/>
    </i>
  </colItems>
  <pageFields count="2">
    <pageField fld="0" item="0" hier="-1"/>
    <pageField fld="5" item="3" hier="-1"/>
  </pageFields>
  <dataFields count="1">
    <dataField name="Sum of Vendor Revenue (CNY M)" fld="3" baseField="0" baseItem="0"/>
  </dataFields>
  <formats count="16">
    <format dxfId="15">
      <pivotArea outline="0" collapsedLevelsAreSubtotals="1" fieldPosition="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type="topRight" dataOnly="0" labelOnly="1" outline="0" fieldPosition="0"/>
    </format>
    <format dxfId="10">
      <pivotArea dataOnly="0" labelOnly="1" grandRow="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type="topRight" dataOnly="0" labelOnly="1" outline="0" fieldPosition="0"/>
    </format>
    <format dxfId="5">
      <pivotArea dataOnly="0" labelOnly="1" grandRow="1" outline="0" fieldPosition="0"/>
    </format>
    <format dxfId="4">
      <pivotArea type="all" dataOnly="0" outline="0" fieldPosition="0"/>
    </format>
    <format dxfId="3">
      <pivotArea outline="0" collapsedLevelsAreSubtotals="1" fieldPosition="0"/>
    </format>
    <format dxfId="2">
      <pivotArea type="origin" dataOnly="0" labelOnly="1" outline="0" fieldPosition="0"/>
    </format>
    <format dxfId="1">
      <pivotArea type="topRight" dataOnly="0" labelOnly="1" outline="0" fieldPosition="0"/>
    </format>
    <format dxfId="0">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tabSelected="1" zoomScale="55" zoomScaleNormal="55" workbookViewId="0">
      <selection activeCell="F97" sqref="F97"/>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70" zoomScaleNormal="70" workbookViewId="0">
      <selection activeCell="V44" sqref="V44"/>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10</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9</v>
      </c>
      <c r="C42" s="9"/>
      <c r="D42" s="9"/>
      <c r="E42" s="9"/>
      <c r="F42" s="10"/>
      <c r="G42" s="10"/>
      <c r="H42" s="10"/>
      <c r="I42" s="10"/>
      <c r="J42" s="11"/>
      <c r="K42" s="12"/>
      <c r="L42" s="12"/>
      <c r="M42" s="12"/>
      <c r="N42" s="12"/>
      <c r="O42" s="12"/>
      <c r="P42" s="12"/>
      <c r="Q42" s="12"/>
      <c r="R42" s="12"/>
      <c r="S42" s="12"/>
      <c r="T42" s="12"/>
      <c r="U42" s="12"/>
      <c r="V42" s="12"/>
    </row>
    <row r="43" spans="2:28" ht="15" customHeight="1">
      <c r="B43" s="13" t="s">
        <v>4</v>
      </c>
      <c r="C43" s="13" t="s">
        <v>5</v>
      </c>
      <c r="D43" s="13" t="s">
        <v>6</v>
      </c>
      <c r="E43" s="13" t="s">
        <v>7</v>
      </c>
      <c r="F43" s="13" t="s">
        <v>8</v>
      </c>
      <c r="G43" s="13" t="s">
        <v>1</v>
      </c>
      <c r="H43" s="13" t="s">
        <v>11</v>
      </c>
      <c r="I43" s="13" t="s">
        <v>12</v>
      </c>
      <c r="J43" s="13" t="s">
        <v>13</v>
      </c>
      <c r="K43" s="13" t="s">
        <v>14</v>
      </c>
      <c r="L43" s="13" t="s">
        <v>15</v>
      </c>
      <c r="M43" s="13" t="s">
        <v>16</v>
      </c>
      <c r="N43" s="13" t="s">
        <v>17</v>
      </c>
      <c r="O43" s="13" t="s">
        <v>18</v>
      </c>
      <c r="P43" s="13" t="s">
        <v>19</v>
      </c>
      <c r="Q43" s="13" t="s">
        <v>20</v>
      </c>
      <c r="R43" s="13" t="s">
        <v>21</v>
      </c>
      <c r="S43" s="13" t="s">
        <v>22</v>
      </c>
      <c r="T43" s="13" t="s">
        <v>23</v>
      </c>
      <c r="U43" s="13" t="s">
        <v>47</v>
      </c>
      <c r="V43" s="13" t="s">
        <v>48</v>
      </c>
    </row>
    <row r="44" spans="2:28" ht="15" customHeight="1">
      <c r="B44" s="14">
        <v>6.6223799999999997</v>
      </c>
      <c r="C44" s="14">
        <v>6.4848400000000002</v>
      </c>
      <c r="D44" s="14">
        <v>6.4593400000000001</v>
      </c>
      <c r="E44" s="14">
        <v>6.4708500000000004</v>
      </c>
      <c r="F44" s="14">
        <v>6.3937299999999997</v>
      </c>
      <c r="G44" s="14">
        <v>6.34795</v>
      </c>
      <c r="H44" s="14">
        <v>6.6090200000000001</v>
      </c>
      <c r="I44" s="14">
        <v>6.8456099999999998</v>
      </c>
      <c r="J44" s="14">
        <v>7.1093700000000002</v>
      </c>
      <c r="K44" s="14">
        <v>6.8427100000000003</v>
      </c>
      <c r="L44" s="14">
        <v>7.0096100000000003</v>
      </c>
      <c r="M44" s="14">
        <v>7.2379800000000003</v>
      </c>
      <c r="N44" s="14">
        <v>7.2001499999999998</v>
      </c>
      <c r="O44" s="14">
        <v>7.1584099999999999</v>
      </c>
      <c r="P44" s="14">
        <v>7.2415200000000004</v>
      </c>
      <c r="Q44" s="14">
        <v>7.16052</v>
      </c>
      <c r="R44" s="14">
        <v>7.1914999999999996</v>
      </c>
      <c r="S44" s="14">
        <v>7.2678500000000001</v>
      </c>
      <c r="T44" s="14">
        <v>7.2351999999999999</v>
      </c>
      <c r="U44" s="14">
        <v>7.1570499999999999</v>
      </c>
      <c r="V44" s="14">
        <v>7.0908800000000003</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A2239"/>
  <sheetViews>
    <sheetView showGridLines="0" zoomScaleNormal="100" workbookViewId="0">
      <selection activeCell="J44" sqref="J44"/>
    </sheetView>
  </sheetViews>
  <sheetFormatPr defaultColWidth="5.54296875" defaultRowHeight="14" customHeight="1"/>
  <cols>
    <col min="1" max="1" width="4.81640625" style="3" customWidth="1"/>
    <col min="2" max="2" width="27.81640625" style="3" bestFit="1" customWidth="1"/>
    <col min="3" max="3" width="17.1796875" style="3" bestFit="1" customWidth="1"/>
    <col min="4" max="11" width="11.08984375" style="3" customWidth="1"/>
    <col min="12" max="12" width="9.1796875" style="3" customWidth="1"/>
    <col min="13" max="13" width="28.906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4" customHeight="1">
      <c r="B15"/>
      <c r="C15"/>
    </row>
    <row r="16" spans="2:5" ht="14.5">
      <c r="B16"/>
      <c r="C16"/>
      <c r="D16" s="4"/>
      <c r="E16" s="4"/>
    </row>
    <row r="17" spans="2:27" ht="14.5">
      <c r="B17"/>
      <c r="C17"/>
    </row>
    <row r="18" spans="2:27" ht="16.5">
      <c r="B18" s="18" t="s">
        <v>2</v>
      </c>
      <c r="C18" s="19" t="s">
        <v>3</v>
      </c>
      <c r="D18" s="15"/>
      <c r="E18" s="15"/>
      <c r="F18" s="15"/>
      <c r="G18" s="15"/>
      <c r="H18" s="15"/>
      <c r="I18" s="15"/>
      <c r="J18" s="15"/>
      <c r="K18" s="16"/>
      <c r="L18" s="16"/>
      <c r="M18"/>
      <c r="N18"/>
    </row>
    <row r="19" spans="2:27" ht="16.5">
      <c r="B19" s="18" t="s">
        <v>24</v>
      </c>
      <c r="C19" s="19" t="s">
        <v>28</v>
      </c>
      <c r="D19" s="15"/>
      <c r="E19" s="15"/>
      <c r="F19" s="15"/>
      <c r="G19" s="15"/>
      <c r="H19" s="15"/>
      <c r="I19" s="15"/>
      <c r="J19" s="16"/>
      <c r="K19" s="16"/>
      <c r="L19" s="16"/>
      <c r="M19" s="5"/>
      <c r="N19"/>
      <c r="O19"/>
    </row>
    <row r="20" spans="2:27" ht="16.5">
      <c r="B20" s="18" t="s">
        <v>45</v>
      </c>
      <c r="C20" s="19" t="s">
        <v>48</v>
      </c>
      <c r="D20" s="15"/>
      <c r="E20" s="15"/>
      <c r="F20" s="15"/>
      <c r="G20" s="15"/>
      <c r="H20" s="15"/>
      <c r="I20" s="15"/>
      <c r="J20" s="16"/>
      <c r="K20" s="16"/>
      <c r="L20" s="16"/>
      <c r="M20"/>
      <c r="N20"/>
      <c r="R20"/>
      <c r="S20"/>
      <c r="T20"/>
      <c r="U20" s="4"/>
    </row>
    <row r="21" spans="2:27" ht="16.5">
      <c r="B21" s="15"/>
      <c r="C21" s="15"/>
      <c r="D21" s="15"/>
      <c r="E21" s="15"/>
      <c r="F21" s="15"/>
      <c r="G21" s="15"/>
      <c r="H21" s="15"/>
      <c r="I21" s="15"/>
      <c r="J21" s="16"/>
      <c r="K21" s="16"/>
      <c r="L21" s="16"/>
      <c r="M21" s="4"/>
      <c r="N21" s="4"/>
      <c r="O21" s="4"/>
      <c r="P21" s="4"/>
      <c r="R21"/>
      <c r="S21"/>
      <c r="T21"/>
      <c r="U21" s="4"/>
      <c r="V21" s="4"/>
    </row>
    <row r="22" spans="2:27" ht="14.5">
      <c r="B22" s="18" t="s">
        <v>25</v>
      </c>
      <c r="C22" s="19"/>
      <c r="D22" s="18" t="s">
        <v>0</v>
      </c>
      <c r="E22" s="19"/>
      <c r="F22" s="19"/>
      <c r="G22" s="19"/>
      <c r="H22" s="19"/>
      <c r="I22" s="19"/>
      <c r="J22" s="19"/>
      <c r="K22"/>
      <c r="L22"/>
      <c r="M22"/>
      <c r="N22"/>
      <c r="O22"/>
      <c r="P22" s="4"/>
      <c r="Q22"/>
      <c r="R22"/>
      <c r="S22"/>
      <c r="T22"/>
      <c r="U22" s="4"/>
      <c r="V22" s="4"/>
    </row>
    <row r="23" spans="2:27" ht="14.5">
      <c r="B23" s="18" t="s">
        <v>27</v>
      </c>
      <c r="C23" s="18" t="s">
        <v>29</v>
      </c>
      <c r="D23" s="19">
        <v>2024</v>
      </c>
      <c r="E23" s="19">
        <v>2025</v>
      </c>
      <c r="F23" s="19">
        <v>2026</v>
      </c>
      <c r="G23" s="19">
        <v>2027</v>
      </c>
      <c r="H23" s="19">
        <v>2028</v>
      </c>
      <c r="I23" s="19">
        <v>2029</v>
      </c>
      <c r="J23" s="19">
        <v>2030</v>
      </c>
      <c r="K23"/>
      <c r="L23"/>
      <c r="M23"/>
      <c r="N23"/>
      <c r="O23"/>
      <c r="P23" s="4"/>
      <c r="Q23"/>
      <c r="R23"/>
      <c r="S23"/>
      <c r="T23"/>
      <c r="U23" s="4"/>
      <c r="V23" s="4"/>
    </row>
    <row r="24" spans="2:27" ht="14.5">
      <c r="B24" s="19" t="s">
        <v>30</v>
      </c>
      <c r="C24" s="19" t="s">
        <v>31</v>
      </c>
      <c r="D24" s="20">
        <v>97.727782210000001</v>
      </c>
      <c r="E24" s="20">
        <v>139.09772831000001</v>
      </c>
      <c r="F24" s="20">
        <v>91.992403420000002</v>
      </c>
      <c r="G24" s="20">
        <v>32.448946640000003</v>
      </c>
      <c r="H24" s="20"/>
      <c r="I24" s="20"/>
      <c r="J24" s="20"/>
      <c r="K24"/>
      <c r="L24"/>
      <c r="M24"/>
      <c r="N24"/>
      <c r="O24"/>
      <c r="P24"/>
      <c r="Q24"/>
      <c r="R24"/>
      <c r="S24"/>
      <c r="T24"/>
      <c r="U24"/>
      <c r="V24"/>
      <c r="W24"/>
      <c r="X24"/>
      <c r="Y24"/>
      <c r="Z24"/>
    </row>
    <row r="25" spans="2:27" ht="14.5">
      <c r="B25" s="19"/>
      <c r="C25" s="19" t="s">
        <v>32</v>
      </c>
      <c r="D25" s="20">
        <v>9536.6388052699986</v>
      </c>
      <c r="E25" s="20">
        <v>8544.7538727200008</v>
      </c>
      <c r="F25" s="20">
        <v>7750.3844626600003</v>
      </c>
      <c r="G25" s="20">
        <v>6673.2851543500001</v>
      </c>
      <c r="H25" s="20">
        <v>5624.4796854899996</v>
      </c>
      <c r="I25" s="20">
        <v>4585.2263937099997</v>
      </c>
      <c r="J25" s="20">
        <v>3779.83678715</v>
      </c>
      <c r="K25"/>
      <c r="L25"/>
      <c r="M25"/>
      <c r="N25"/>
      <c r="O25"/>
      <c r="P25"/>
      <c r="Q25"/>
      <c r="R25"/>
      <c r="S25"/>
      <c r="T25"/>
      <c r="U25"/>
      <c r="V25"/>
      <c r="W25"/>
      <c r="X25"/>
      <c r="Y25"/>
      <c r="Z25"/>
    </row>
    <row r="26" spans="2:27" ht="14.5">
      <c r="B26" s="19"/>
      <c r="C26" s="19" t="s">
        <v>33</v>
      </c>
      <c r="D26" s="20">
        <v>465.16581987000001</v>
      </c>
      <c r="E26" s="20">
        <v>596.88198291000003</v>
      </c>
      <c r="F26" s="20">
        <v>871.03098589000001</v>
      </c>
      <c r="G26" s="20">
        <v>1594.2671846400001</v>
      </c>
      <c r="H26" s="20">
        <v>2151.3077989399999</v>
      </c>
      <c r="I26" s="20">
        <v>2703.2421831699999</v>
      </c>
      <c r="J26" s="20">
        <v>3192.2414404000001</v>
      </c>
      <c r="K26"/>
      <c r="L26"/>
      <c r="M26"/>
      <c r="N26"/>
      <c r="O26"/>
      <c r="P26"/>
      <c r="Q26"/>
      <c r="R26"/>
      <c r="S26"/>
      <c r="T26"/>
      <c r="U26"/>
      <c r="V26"/>
      <c r="W26"/>
      <c r="X26"/>
      <c r="Y26"/>
      <c r="Z26"/>
    </row>
    <row r="27" spans="2:27" ht="14.5">
      <c r="B27" s="19"/>
      <c r="C27" s="19" t="s">
        <v>34</v>
      </c>
      <c r="D27" s="20">
        <v>5779.0250129200003</v>
      </c>
      <c r="E27" s="20">
        <v>5460.0941418499997</v>
      </c>
      <c r="F27" s="20">
        <v>6043.8141608699998</v>
      </c>
      <c r="G27" s="20">
        <v>6571.4426410200003</v>
      </c>
      <c r="H27" s="20">
        <v>6840.3518787399998</v>
      </c>
      <c r="I27" s="20">
        <v>7217.7655473900004</v>
      </c>
      <c r="J27" s="20">
        <v>7650.5760224400001</v>
      </c>
      <c r="K27"/>
      <c r="L27"/>
      <c r="M27"/>
      <c r="N27"/>
      <c r="O27"/>
      <c r="P27"/>
      <c r="Q27"/>
      <c r="R27"/>
      <c r="S27"/>
      <c r="T27"/>
      <c r="U27"/>
      <c r="V27"/>
      <c r="W27"/>
      <c r="X27"/>
      <c r="Y27"/>
      <c r="Z27"/>
      <c r="AA27"/>
    </row>
    <row r="28" spans="2:27" ht="14.5">
      <c r="B28" s="19"/>
      <c r="C28" s="19" t="s">
        <v>35</v>
      </c>
      <c r="D28" s="20">
        <v>2953.4000346299999</v>
      </c>
      <c r="E28" s="20">
        <v>2979.7393357699998</v>
      </c>
      <c r="F28" s="20">
        <v>3144.914996</v>
      </c>
      <c r="G28" s="20">
        <v>2955.2730798399998</v>
      </c>
      <c r="H28" s="20">
        <v>2627.72500593</v>
      </c>
      <c r="I28" s="20">
        <v>2250.3301676400001</v>
      </c>
      <c r="J28" s="20">
        <v>1690.0075698000001</v>
      </c>
      <c r="K28"/>
      <c r="L28"/>
      <c r="M28"/>
      <c r="N28"/>
      <c r="O28"/>
      <c r="P28"/>
      <c r="Q28"/>
      <c r="R28"/>
      <c r="S28"/>
      <c r="T28"/>
      <c r="U28"/>
      <c r="V28"/>
      <c r="W28"/>
      <c r="X28"/>
      <c r="Y28"/>
      <c r="Z28"/>
      <c r="AA28"/>
    </row>
    <row r="29" spans="2:27" ht="14.5">
      <c r="B29" s="19"/>
      <c r="C29" s="19" t="s">
        <v>36</v>
      </c>
      <c r="D29" s="20">
        <v>323.27167512</v>
      </c>
      <c r="E29" s="20">
        <v>310.73012412000003</v>
      </c>
      <c r="F29" s="20">
        <v>88.006005070000001</v>
      </c>
      <c r="G29" s="20">
        <v>14.076986339999999</v>
      </c>
      <c r="H29" s="20"/>
      <c r="I29" s="20"/>
      <c r="J29" s="20"/>
      <c r="K29"/>
      <c r="L29"/>
      <c r="M29"/>
      <c r="N29"/>
      <c r="O29"/>
      <c r="P29"/>
      <c r="Q29"/>
      <c r="R29"/>
      <c r="S29"/>
      <c r="T29"/>
      <c r="U29"/>
      <c r="V29"/>
      <c r="W29"/>
      <c r="X29"/>
      <c r="Y29"/>
      <c r="Z29"/>
      <c r="AA29"/>
    </row>
    <row r="30" spans="2:27" ht="14.5">
      <c r="B30" s="19"/>
      <c r="C30" s="19" t="s">
        <v>37</v>
      </c>
      <c r="D30" s="20">
        <v>5272.5138047700002</v>
      </c>
      <c r="E30" s="20">
        <v>5582.2563369400004</v>
      </c>
      <c r="F30" s="20">
        <v>6054.4815008599999</v>
      </c>
      <c r="G30" s="20">
        <v>6241.8787647299996</v>
      </c>
      <c r="H30" s="20">
        <v>6498.0491512099998</v>
      </c>
      <c r="I30" s="20">
        <v>6412.2631623400002</v>
      </c>
      <c r="J30" s="20">
        <v>5973.8572788199999</v>
      </c>
      <c r="K30"/>
      <c r="L30"/>
      <c r="M30"/>
      <c r="N30"/>
      <c r="O30"/>
      <c r="P30"/>
      <c r="Q30"/>
      <c r="R30"/>
      <c r="S30"/>
      <c r="T30"/>
      <c r="U30"/>
      <c r="V30"/>
      <c r="W30"/>
      <c r="X30"/>
      <c r="Y30"/>
      <c r="Z30"/>
      <c r="AA30"/>
    </row>
    <row r="31" spans="2:27" ht="14.5">
      <c r="B31" s="19"/>
      <c r="C31" s="19" t="s">
        <v>38</v>
      </c>
      <c r="D31" s="20">
        <v>5808.0059737299998</v>
      </c>
      <c r="E31" s="20">
        <v>12904.38931946</v>
      </c>
      <c r="F31" s="20">
        <v>20004.269512319999</v>
      </c>
      <c r="G31" s="20">
        <v>25466.994584020002</v>
      </c>
      <c r="H31" s="20">
        <v>29454.01588993</v>
      </c>
      <c r="I31" s="20">
        <v>31106.23490671</v>
      </c>
      <c r="J31" s="20">
        <v>31742.876224539999</v>
      </c>
      <c r="K31"/>
      <c r="L31"/>
      <c r="M31"/>
      <c r="N31"/>
      <c r="O31"/>
      <c r="P31"/>
      <c r="Q31"/>
      <c r="R31"/>
      <c r="S31"/>
      <c r="T31"/>
      <c r="U31"/>
      <c r="V31"/>
      <c r="W31"/>
      <c r="X31"/>
      <c r="Y31"/>
      <c r="Z31"/>
      <c r="AA31"/>
    </row>
    <row r="32" spans="2:27" ht="14.5">
      <c r="B32" s="19"/>
      <c r="C32" s="19" t="s">
        <v>39</v>
      </c>
      <c r="D32" s="20"/>
      <c r="E32" s="20">
        <v>2006.9266749400001</v>
      </c>
      <c r="F32" s="20">
        <v>3275.14308811</v>
      </c>
      <c r="G32" s="20">
        <v>6860.12073435</v>
      </c>
      <c r="H32" s="20">
        <v>12715.06653041</v>
      </c>
      <c r="I32" s="20">
        <v>21110.028737019999</v>
      </c>
      <c r="J32" s="20">
        <v>31153.729611909999</v>
      </c>
      <c r="K32"/>
      <c r="L32"/>
      <c r="M32"/>
      <c r="N32"/>
      <c r="O32"/>
      <c r="P32"/>
      <c r="Q32"/>
      <c r="R32"/>
      <c r="S32"/>
      <c r="T32"/>
      <c r="U32"/>
      <c r="V32"/>
      <c r="W32"/>
      <c r="X32"/>
      <c r="Y32"/>
      <c r="Z32"/>
      <c r="AA32"/>
    </row>
    <row r="33" spans="2:27" ht="14.5">
      <c r="B33" s="19" t="s">
        <v>41</v>
      </c>
      <c r="C33" s="19" t="s">
        <v>31</v>
      </c>
      <c r="D33" s="20">
        <v>87.743112109999998</v>
      </c>
      <c r="E33" s="20">
        <v>199.47517139999999</v>
      </c>
      <c r="F33" s="20">
        <v>81.576355989999996</v>
      </c>
      <c r="G33" s="20">
        <v>22.5304489</v>
      </c>
      <c r="H33" s="20"/>
      <c r="I33" s="20"/>
      <c r="J33" s="20"/>
      <c r="K33"/>
      <c r="L33"/>
      <c r="M33"/>
      <c r="N33"/>
      <c r="O33"/>
      <c r="P33"/>
      <c r="Q33"/>
      <c r="R33"/>
      <c r="S33"/>
      <c r="T33"/>
      <c r="U33"/>
      <c r="V33"/>
      <c r="W33"/>
      <c r="X33"/>
      <c r="Y33"/>
      <c r="Z33"/>
      <c r="AA33"/>
    </row>
    <row r="34" spans="2:27" ht="14.5">
      <c r="B34" s="19"/>
      <c r="C34" s="19" t="s">
        <v>32</v>
      </c>
      <c r="D34" s="20">
        <v>287.08932728000002</v>
      </c>
      <c r="E34" s="20">
        <v>476.58289667999998</v>
      </c>
      <c r="F34" s="20">
        <v>251.46243656999999</v>
      </c>
      <c r="G34" s="20">
        <v>103.85935773</v>
      </c>
      <c r="H34" s="20">
        <v>36.575357220000001</v>
      </c>
      <c r="I34" s="20">
        <v>11.22271033</v>
      </c>
      <c r="J34" s="20">
        <v>3.0003909200000001</v>
      </c>
      <c r="K34"/>
      <c r="L34"/>
      <c r="M34"/>
      <c r="N34"/>
      <c r="O34"/>
      <c r="P34"/>
      <c r="Q34"/>
      <c r="R34"/>
      <c r="S34"/>
      <c r="T34"/>
      <c r="U34"/>
      <c r="V34"/>
      <c r="W34"/>
      <c r="X34"/>
      <c r="Y34"/>
      <c r="Z34"/>
      <c r="AA34"/>
    </row>
    <row r="35" spans="2:27" ht="14.5">
      <c r="B35" s="19" t="s">
        <v>40</v>
      </c>
      <c r="C35" s="19" t="s">
        <v>31</v>
      </c>
      <c r="D35" s="20">
        <v>3.5558939999999997E-2</v>
      </c>
      <c r="E35" s="20"/>
      <c r="F35" s="20"/>
      <c r="G35" s="20"/>
      <c r="H35" s="20"/>
      <c r="I35" s="20"/>
      <c r="J35" s="20"/>
      <c r="K35"/>
      <c r="L35"/>
      <c r="M35"/>
      <c r="N35"/>
      <c r="O35"/>
      <c r="P35"/>
      <c r="Q35"/>
      <c r="R35"/>
      <c r="S35"/>
      <c r="T35"/>
      <c r="U35"/>
      <c r="V35"/>
      <c r="W35"/>
      <c r="X35"/>
      <c r="Y35"/>
      <c r="Z35"/>
      <c r="AA35"/>
    </row>
    <row r="36" spans="2:27" ht="14.5">
      <c r="B36" s="19"/>
      <c r="C36" s="19" t="s">
        <v>32</v>
      </c>
      <c r="D36" s="20">
        <v>1134.4966768699999</v>
      </c>
      <c r="E36" s="20">
        <v>1227.53772452</v>
      </c>
      <c r="F36" s="20">
        <v>1080.2760212200001</v>
      </c>
      <c r="G36" s="20">
        <v>923.95995733999996</v>
      </c>
      <c r="H36" s="20">
        <v>798.01559354999995</v>
      </c>
      <c r="I36" s="20">
        <v>668.35198931000002</v>
      </c>
      <c r="J36" s="20">
        <v>524.38718602999995</v>
      </c>
      <c r="K36"/>
      <c r="L36"/>
      <c r="M36"/>
      <c r="N36"/>
      <c r="O36"/>
      <c r="P36"/>
      <c r="Q36"/>
      <c r="R36"/>
      <c r="S36"/>
      <c r="T36"/>
      <c r="U36"/>
      <c r="V36"/>
      <c r="W36"/>
      <c r="X36"/>
      <c r="Y36"/>
      <c r="Z36"/>
      <c r="AA36"/>
    </row>
    <row r="37" spans="2:27" ht="14.5">
      <c r="B37" s="19"/>
      <c r="C37" s="19" t="s">
        <v>33</v>
      </c>
      <c r="D37" s="20">
        <v>24.848116749999999</v>
      </c>
      <c r="E37" s="20">
        <v>103.95770899</v>
      </c>
      <c r="F37" s="20">
        <v>152.9956492</v>
      </c>
      <c r="G37" s="20">
        <v>204.64053978000001</v>
      </c>
      <c r="H37" s="20">
        <v>241.19982557</v>
      </c>
      <c r="I37" s="20">
        <v>267.11149420999999</v>
      </c>
      <c r="J37" s="20">
        <v>288.96693655000001</v>
      </c>
      <c r="K37"/>
      <c r="L37"/>
      <c r="M37"/>
      <c r="N37"/>
      <c r="O37"/>
      <c r="P37"/>
      <c r="Q37"/>
      <c r="R37"/>
      <c r="S37"/>
      <c r="T37"/>
      <c r="U37"/>
      <c r="V37"/>
      <c r="W37"/>
      <c r="X37"/>
      <c r="Y37"/>
      <c r="Z37"/>
      <c r="AA37"/>
    </row>
    <row r="38" spans="2:27" ht="14.5">
      <c r="B38" s="19"/>
      <c r="C38" s="19" t="s">
        <v>34</v>
      </c>
      <c r="D38" s="20">
        <v>3378.6212255700002</v>
      </c>
      <c r="E38" s="20">
        <v>2708.8663660100001</v>
      </c>
      <c r="F38" s="20">
        <v>2817.2876686200002</v>
      </c>
      <c r="G38" s="20">
        <v>2877.0931606600002</v>
      </c>
      <c r="H38" s="20">
        <v>2990.7348305800001</v>
      </c>
      <c r="I38" s="20">
        <v>3024.6753584500002</v>
      </c>
      <c r="J38" s="20">
        <v>3044.4551277800001</v>
      </c>
      <c r="K38"/>
      <c r="L38"/>
      <c r="M38"/>
      <c r="N38"/>
      <c r="O38"/>
      <c r="P38"/>
      <c r="Q38"/>
      <c r="R38"/>
      <c r="S38"/>
      <c r="T38"/>
      <c r="U38"/>
      <c r="V38"/>
      <c r="W38"/>
      <c r="X38"/>
      <c r="Y38"/>
      <c r="Z38"/>
      <c r="AA38"/>
    </row>
    <row r="39" spans="2:27" ht="14.5">
      <c r="B39" s="19"/>
      <c r="C39" s="19" t="s">
        <v>35</v>
      </c>
      <c r="D39" s="20">
        <v>48.340457630000003</v>
      </c>
      <c r="E39" s="20">
        <v>83.684624779999993</v>
      </c>
      <c r="F39" s="20">
        <v>95.824460479999999</v>
      </c>
      <c r="G39" s="20">
        <v>120.30129701</v>
      </c>
      <c r="H39" s="20">
        <v>160.80419128</v>
      </c>
      <c r="I39" s="20">
        <v>186.32198650000001</v>
      </c>
      <c r="J39" s="20">
        <v>212.53184493000001</v>
      </c>
      <c r="K39"/>
      <c r="L39"/>
      <c r="M39"/>
      <c r="N39"/>
      <c r="O39"/>
      <c r="P39"/>
      <c r="Q39"/>
      <c r="R39"/>
      <c r="S39"/>
      <c r="T39"/>
      <c r="U39"/>
      <c r="V39"/>
      <c r="W39"/>
      <c r="X39"/>
      <c r="Y39"/>
      <c r="Z39"/>
      <c r="AA39"/>
    </row>
    <row r="40" spans="2:27" ht="14.5">
      <c r="B40" s="19"/>
      <c r="C40" s="19" t="s">
        <v>36</v>
      </c>
      <c r="D40" s="20">
        <v>641.84085862999996</v>
      </c>
      <c r="E40" s="20">
        <v>907.64573318999999</v>
      </c>
      <c r="F40" s="20">
        <v>274.27432838999999</v>
      </c>
      <c r="G40" s="20">
        <v>30.33073662</v>
      </c>
      <c r="H40" s="20"/>
      <c r="I40" s="20"/>
      <c r="J40" s="20"/>
      <c r="K40"/>
      <c r="L40"/>
      <c r="M40"/>
      <c r="N40"/>
      <c r="O40"/>
      <c r="P40"/>
      <c r="Q40"/>
      <c r="R40"/>
      <c r="S40"/>
      <c r="T40"/>
      <c r="U40"/>
      <c r="V40"/>
      <c r="W40"/>
      <c r="X40"/>
      <c r="Y40"/>
      <c r="Z40"/>
      <c r="AA40"/>
    </row>
    <row r="41" spans="2:27" ht="14.5">
      <c r="B41" s="19"/>
      <c r="C41" s="19" t="s">
        <v>37</v>
      </c>
      <c r="D41" s="20">
        <v>3981.5098194299999</v>
      </c>
      <c r="E41" s="20">
        <v>3542.5808066599998</v>
      </c>
      <c r="F41" s="20">
        <v>4392.1922694699997</v>
      </c>
      <c r="G41" s="20">
        <v>4045.4829393300001</v>
      </c>
      <c r="H41" s="20">
        <v>3582.0723777500002</v>
      </c>
      <c r="I41" s="20">
        <v>2987.0716004199999</v>
      </c>
      <c r="J41" s="20">
        <v>2286.2488836799998</v>
      </c>
      <c r="K41"/>
      <c r="L41"/>
      <c r="M41"/>
      <c r="N41"/>
      <c r="O41"/>
      <c r="P41"/>
      <c r="Q41"/>
      <c r="R41"/>
      <c r="S41"/>
      <c r="T41"/>
      <c r="U41"/>
      <c r="V41"/>
      <c r="W41"/>
      <c r="X41"/>
      <c r="Y41"/>
      <c r="Z41"/>
      <c r="AA41"/>
    </row>
    <row r="42" spans="2:27" ht="14.5">
      <c r="B42" s="19"/>
      <c r="C42" s="19" t="s">
        <v>38</v>
      </c>
      <c r="D42" s="20">
        <v>1904.9754751800001</v>
      </c>
      <c r="E42" s="20">
        <v>1706.6601359900001</v>
      </c>
      <c r="F42" s="20">
        <v>2185.17933154</v>
      </c>
      <c r="G42" s="20">
        <v>2753.0140817699998</v>
      </c>
      <c r="H42" s="20">
        <v>3321.5159756500002</v>
      </c>
      <c r="I42" s="20">
        <v>3509.65495538</v>
      </c>
      <c r="J42" s="20">
        <v>3558.909584</v>
      </c>
      <c r="K42"/>
      <c r="L42"/>
      <c r="M42"/>
      <c r="N42"/>
      <c r="O42"/>
      <c r="P42"/>
      <c r="Q42"/>
      <c r="R42"/>
      <c r="S42"/>
      <c r="T42"/>
      <c r="U42"/>
      <c r="V42"/>
      <c r="W42"/>
      <c r="X42"/>
      <c r="Y42"/>
      <c r="Z42"/>
      <c r="AA42"/>
    </row>
    <row r="43" spans="2:27" ht="14.5">
      <c r="B43" s="19"/>
      <c r="C43" s="19" t="s">
        <v>39</v>
      </c>
      <c r="D43" s="20"/>
      <c r="E43" s="20">
        <v>13.83767359</v>
      </c>
      <c r="F43" s="20">
        <v>212.72082574999999</v>
      </c>
      <c r="G43" s="20">
        <v>581.44312706999995</v>
      </c>
      <c r="H43" s="20">
        <v>1223.77166225</v>
      </c>
      <c r="I43" s="20">
        <v>2094.1275445299998</v>
      </c>
      <c r="J43" s="20">
        <v>3130.7927201000002</v>
      </c>
      <c r="K43"/>
      <c r="L43"/>
      <c r="M43"/>
      <c r="N43"/>
      <c r="O43"/>
      <c r="P43"/>
      <c r="Q43"/>
      <c r="R43"/>
      <c r="S43"/>
      <c r="T43"/>
      <c r="U43"/>
      <c r="V43"/>
      <c r="W43"/>
      <c r="X43"/>
      <c r="Y43"/>
      <c r="Z43"/>
      <c r="AA43"/>
    </row>
    <row r="44" spans="2:27" ht="14.5">
      <c r="B44" s="19" t="s">
        <v>26</v>
      </c>
      <c r="C44" s="19"/>
      <c r="D44" s="20">
        <v>41725.24953691</v>
      </c>
      <c r="E44" s="20">
        <v>49495.698358829999</v>
      </c>
      <c r="F44" s="20">
        <v>58867.826462430006</v>
      </c>
      <c r="G44" s="20">
        <v>68072.44372214</v>
      </c>
      <c r="H44" s="20">
        <v>78265.685754499995</v>
      </c>
      <c r="I44" s="20">
        <v>88133.628737109975</v>
      </c>
      <c r="J44" s="20">
        <v>98232.417609049997</v>
      </c>
      <c r="K44"/>
      <c r="L44"/>
      <c r="M44"/>
      <c r="N44"/>
      <c r="O44"/>
      <c r="P44"/>
      <c r="Q44"/>
      <c r="R44"/>
      <c r="S44"/>
      <c r="T44"/>
      <c r="U44"/>
      <c r="V44"/>
      <c r="W44"/>
      <c r="X44"/>
      <c r="Y44"/>
      <c r="Z44"/>
      <c r="AA44"/>
    </row>
    <row r="45" spans="2:27" ht="14.5">
      <c r="B45"/>
      <c r="C45"/>
      <c r="D45"/>
      <c r="E45"/>
      <c r="F45"/>
      <c r="G45"/>
      <c r="H45"/>
      <c r="I45"/>
      <c r="J45"/>
      <c r="K45"/>
      <c r="L45"/>
      <c r="M45"/>
      <c r="N45"/>
      <c r="O45"/>
      <c r="P45"/>
      <c r="Q45"/>
      <c r="R45"/>
      <c r="S45"/>
      <c r="T45"/>
      <c r="U45"/>
      <c r="V45"/>
      <c r="W45"/>
      <c r="X45"/>
      <c r="Y45"/>
      <c r="Z45"/>
      <c r="AA45"/>
    </row>
    <row r="46" spans="2:27" ht="14.5">
      <c r="B46"/>
      <c r="C46"/>
      <c r="D46"/>
      <c r="E46" s="17"/>
      <c r="F46" s="17"/>
      <c r="G46" s="17"/>
      <c r="H46" s="17"/>
      <c r="I46" s="17"/>
      <c r="J46" s="17"/>
      <c r="K46"/>
      <c r="L46"/>
      <c r="M46"/>
      <c r="N46"/>
      <c r="O46"/>
      <c r="P46"/>
      <c r="Q46"/>
      <c r="R46"/>
      <c r="S46"/>
      <c r="T46"/>
      <c r="U46"/>
      <c r="V46"/>
      <c r="W46"/>
      <c r="X46"/>
      <c r="Y46"/>
      <c r="Z46"/>
      <c r="AA46"/>
    </row>
    <row r="47" spans="2:27" ht="14.5">
      <c r="B47"/>
      <c r="C47"/>
      <c r="D47"/>
      <c r="E47"/>
      <c r="F47"/>
      <c r="G47"/>
      <c r="H47"/>
      <c r="I47"/>
      <c r="J47"/>
      <c r="K47"/>
      <c r="L47"/>
      <c r="M47"/>
      <c r="N47"/>
      <c r="O47"/>
      <c r="P47"/>
      <c r="Q47"/>
      <c r="R47"/>
      <c r="S47"/>
      <c r="T47"/>
      <c r="U47"/>
      <c r="V47"/>
      <c r="W47"/>
      <c r="X47"/>
      <c r="Y47"/>
      <c r="Z47"/>
      <c r="AA47"/>
    </row>
    <row r="48" spans="2:27" ht="14.5">
      <c r="B48"/>
      <c r="C48"/>
      <c r="D48"/>
      <c r="E48"/>
      <c r="F48"/>
      <c r="G48"/>
      <c r="H48"/>
      <c r="I48"/>
      <c r="J48"/>
      <c r="K48"/>
      <c r="L48"/>
      <c r="M48"/>
      <c r="N48"/>
      <c r="O48"/>
      <c r="P48"/>
      <c r="Q48"/>
      <c r="R48"/>
      <c r="S48"/>
      <c r="T48"/>
      <c r="U48"/>
      <c r="V48"/>
      <c r="W48"/>
      <c r="X48"/>
      <c r="Y48"/>
      <c r="Z48"/>
      <c r="AA48"/>
    </row>
    <row r="49" spans="2:27" ht="14.5">
      <c r="B49"/>
      <c r="C49"/>
      <c r="D49"/>
      <c r="E49"/>
      <c r="F49"/>
      <c r="G49"/>
      <c r="H49"/>
      <c r="I49"/>
      <c r="J49"/>
      <c r="K49"/>
      <c r="L49"/>
      <c r="M49"/>
      <c r="N49"/>
      <c r="O49"/>
      <c r="P49"/>
      <c r="Q49"/>
      <c r="R49"/>
      <c r="S49"/>
      <c r="T49"/>
      <c r="U49"/>
      <c r="V49"/>
      <c r="W49"/>
      <c r="X49"/>
      <c r="Y49"/>
      <c r="Z49"/>
      <c r="AA49"/>
    </row>
    <row r="50" spans="2:27" ht="14.5">
      <c r="B50"/>
      <c r="C50"/>
      <c r="D50"/>
      <c r="E50"/>
      <c r="F50"/>
      <c r="G50"/>
      <c r="H50"/>
      <c r="I50"/>
      <c r="J50"/>
      <c r="K50"/>
      <c r="L50"/>
      <c r="M50"/>
      <c r="N50"/>
      <c r="O50"/>
      <c r="P50"/>
      <c r="Q50"/>
      <c r="R50"/>
      <c r="S50"/>
      <c r="T50"/>
      <c r="U50"/>
      <c r="V50"/>
      <c r="W50"/>
      <c r="X50"/>
      <c r="Y50"/>
      <c r="Z50"/>
      <c r="AA50"/>
    </row>
    <row r="51" spans="2:27" ht="14.5">
      <c r="B51"/>
      <c r="C51"/>
      <c r="D51"/>
      <c r="E51"/>
      <c r="F51"/>
      <c r="G51"/>
      <c r="H51"/>
      <c r="I51"/>
      <c r="J51"/>
      <c r="K51"/>
      <c r="L51"/>
      <c r="M51"/>
      <c r="N51"/>
      <c r="O51"/>
      <c r="P51"/>
      <c r="Q51"/>
      <c r="R51"/>
      <c r="S51"/>
      <c r="T51"/>
      <c r="U51"/>
      <c r="V51"/>
      <c r="W51"/>
      <c r="X51"/>
      <c r="Y51"/>
      <c r="Z51"/>
      <c r="AA51"/>
    </row>
    <row r="52" spans="2:27" ht="14.5">
      <c r="B52"/>
      <c r="C52"/>
      <c r="D52"/>
      <c r="E52"/>
      <c r="F52"/>
      <c r="G52"/>
      <c r="H52"/>
      <c r="I52"/>
      <c r="J52"/>
      <c r="K52"/>
      <c r="L52"/>
      <c r="M52"/>
      <c r="N52"/>
      <c r="O52"/>
      <c r="P52"/>
      <c r="Q52"/>
      <c r="R52"/>
      <c r="S52"/>
      <c r="T52"/>
      <c r="U52"/>
      <c r="V52"/>
      <c r="W52"/>
      <c r="X52"/>
      <c r="Y52"/>
      <c r="Z52"/>
      <c r="AA52"/>
    </row>
    <row r="53" spans="2:27" ht="14.5">
      <c r="B53"/>
      <c r="C53"/>
      <c r="D53"/>
      <c r="E53"/>
      <c r="F53"/>
      <c r="G53"/>
      <c r="H53"/>
      <c r="I53"/>
      <c r="J53"/>
      <c r="K53"/>
      <c r="L53"/>
      <c r="M53"/>
      <c r="N53"/>
      <c r="O53"/>
      <c r="P53"/>
      <c r="Q53"/>
      <c r="R53"/>
      <c r="S53"/>
      <c r="T53"/>
      <c r="U53"/>
      <c r="V53"/>
      <c r="W53"/>
      <c r="X53"/>
      <c r="Y53"/>
      <c r="Z53"/>
      <c r="AA53"/>
    </row>
    <row r="54" spans="2:27" ht="14.5">
      <c r="B54"/>
      <c r="C54"/>
      <c r="D54"/>
      <c r="E54"/>
      <c r="F54"/>
      <c r="G54"/>
      <c r="H54"/>
      <c r="I54"/>
      <c r="J54"/>
      <c r="K54"/>
      <c r="L54"/>
      <c r="M54"/>
      <c r="N54"/>
      <c r="O54"/>
      <c r="P54"/>
      <c r="Q54"/>
      <c r="R54"/>
      <c r="S54"/>
      <c r="T54"/>
      <c r="U54"/>
      <c r="V54"/>
      <c r="W54"/>
      <c r="X54"/>
      <c r="Y54"/>
      <c r="Z54"/>
    </row>
    <row r="55" spans="2:27" ht="14.5">
      <c r="B55"/>
      <c r="C55"/>
      <c r="D55"/>
      <c r="E55"/>
      <c r="F55"/>
      <c r="G55"/>
      <c r="H55"/>
      <c r="I55"/>
      <c r="J55"/>
      <c r="K55"/>
      <c r="L55"/>
      <c r="M55"/>
      <c r="N55"/>
      <c r="O55"/>
      <c r="P55"/>
      <c r="Q55"/>
      <c r="R55"/>
      <c r="S55"/>
      <c r="T55"/>
      <c r="U55"/>
      <c r="V55"/>
      <c r="W55"/>
      <c r="X55"/>
      <c r="Y55"/>
      <c r="Z55"/>
    </row>
    <row r="56" spans="2:27" ht="14.5">
      <c r="B56"/>
      <c r="C56"/>
      <c r="D56"/>
      <c r="E56"/>
      <c r="F56"/>
      <c r="G56"/>
      <c r="H56"/>
      <c r="I56"/>
      <c r="J56"/>
      <c r="K56"/>
      <c r="L56"/>
      <c r="M56"/>
      <c r="N56"/>
      <c r="O56"/>
      <c r="P56"/>
      <c r="Q56"/>
      <c r="R56"/>
      <c r="S56"/>
      <c r="T56"/>
      <c r="U56"/>
      <c r="V56"/>
      <c r="W56"/>
      <c r="X56"/>
      <c r="Y56"/>
      <c r="Z56"/>
    </row>
    <row r="57" spans="2:27" ht="14.5">
      <c r="B57"/>
      <c r="C57"/>
      <c r="D57"/>
      <c r="E57"/>
      <c r="F57"/>
      <c r="G57"/>
      <c r="H57"/>
      <c r="I57"/>
      <c r="J57"/>
      <c r="K57"/>
      <c r="L57"/>
      <c r="M57"/>
      <c r="N57"/>
      <c r="O57"/>
      <c r="P57"/>
      <c r="Q57"/>
      <c r="R57"/>
      <c r="S57"/>
      <c r="T57"/>
      <c r="U57"/>
      <c r="V57"/>
      <c r="W57"/>
      <c r="X57"/>
      <c r="Y57"/>
      <c r="Z57"/>
    </row>
    <row r="58" spans="2:27" ht="14.5">
      <c r="B58"/>
      <c r="C58"/>
      <c r="D58"/>
      <c r="E58"/>
      <c r="F58"/>
      <c r="G58"/>
      <c r="H58"/>
      <c r="I58"/>
      <c r="J58"/>
      <c r="K58"/>
      <c r="L58"/>
      <c r="M58"/>
      <c r="N58"/>
      <c r="O58"/>
      <c r="P58"/>
      <c r="Q58"/>
      <c r="R58"/>
      <c r="S58"/>
      <c r="T58"/>
      <c r="U58"/>
      <c r="V58"/>
      <c r="W58"/>
      <c r="X58"/>
      <c r="Y58"/>
      <c r="Z58"/>
    </row>
    <row r="59" spans="2:27" ht="14.5">
      <c r="B59"/>
      <c r="C59"/>
      <c r="D59"/>
      <c r="E59"/>
      <c r="F59"/>
      <c r="G59"/>
      <c r="H59"/>
      <c r="I59"/>
      <c r="J59"/>
      <c r="K59"/>
      <c r="L59"/>
      <c r="M59"/>
      <c r="N59"/>
      <c r="O59"/>
      <c r="P59"/>
      <c r="Q59"/>
      <c r="R59"/>
      <c r="S59"/>
      <c r="T59"/>
      <c r="U59"/>
      <c r="V59"/>
      <c r="W59"/>
      <c r="X59"/>
      <c r="Y59"/>
      <c r="Z59"/>
    </row>
    <row r="60" spans="2:27" ht="14.5">
      <c r="B60"/>
      <c r="C60"/>
      <c r="D60"/>
      <c r="E60"/>
      <c r="F60"/>
      <c r="G60"/>
      <c r="H60"/>
      <c r="I60"/>
      <c r="J60"/>
      <c r="K60"/>
      <c r="L60"/>
      <c r="M60"/>
      <c r="N60"/>
      <c r="O60"/>
      <c r="P60"/>
      <c r="Q60"/>
      <c r="R60"/>
      <c r="S60"/>
      <c r="T60"/>
      <c r="U60"/>
      <c r="V60"/>
      <c r="W60"/>
      <c r="X60"/>
      <c r="Y60"/>
      <c r="Z60"/>
    </row>
    <row r="61" spans="2:27" ht="14.5">
      <c r="B61"/>
      <c r="C61"/>
      <c r="D61"/>
      <c r="E61"/>
      <c r="F61"/>
      <c r="G61"/>
      <c r="H61"/>
      <c r="I61"/>
      <c r="J61"/>
      <c r="K61"/>
      <c r="L61"/>
      <c r="M61"/>
      <c r="N61"/>
      <c r="O61"/>
      <c r="P61"/>
      <c r="Q61"/>
      <c r="R61"/>
      <c r="S61"/>
      <c r="T61"/>
      <c r="U61"/>
      <c r="V61"/>
      <c r="W61"/>
      <c r="X61"/>
      <c r="Y61"/>
      <c r="Z61"/>
    </row>
    <row r="62" spans="2:27" ht="14.5">
      <c r="B62"/>
      <c r="C62"/>
      <c r="D62"/>
      <c r="E62"/>
      <c r="F62"/>
      <c r="G62"/>
      <c r="H62"/>
      <c r="I62"/>
      <c r="J62"/>
      <c r="K62"/>
      <c r="L62"/>
      <c r="M62"/>
      <c r="N62"/>
      <c r="O62"/>
      <c r="P62"/>
      <c r="Q62"/>
      <c r="R62"/>
      <c r="S62"/>
      <c r="T62"/>
      <c r="U62"/>
      <c r="V62"/>
      <c r="W62"/>
      <c r="X62"/>
      <c r="Y62"/>
      <c r="Z62"/>
    </row>
    <row r="63" spans="2:27" ht="14" customHeight="1">
      <c r="B63"/>
      <c r="C63"/>
      <c r="D63"/>
      <c r="E63"/>
      <c r="F63"/>
      <c r="G63"/>
      <c r="H63"/>
      <c r="I63"/>
      <c r="J63"/>
      <c r="K63"/>
      <c r="L63"/>
      <c r="M63"/>
      <c r="N63"/>
    </row>
    <row r="64" spans="2:27" ht="14" customHeight="1">
      <c r="B64"/>
      <c r="C64"/>
      <c r="D64"/>
      <c r="E64"/>
      <c r="F64"/>
      <c r="G64"/>
      <c r="H64"/>
      <c r="I64"/>
      <c r="J64"/>
      <c r="K64"/>
      <c r="L64"/>
      <c r="M64"/>
      <c r="N64"/>
    </row>
    <row r="65" spans="2:14" ht="14" customHeight="1">
      <c r="B65"/>
      <c r="C65"/>
      <c r="D65"/>
      <c r="E65"/>
      <c r="F65"/>
      <c r="G65"/>
      <c r="H65"/>
      <c r="I65"/>
      <c r="J65"/>
      <c r="K65"/>
      <c r="L65"/>
      <c r="M65"/>
      <c r="N65"/>
    </row>
    <row r="66" spans="2:14" ht="14" customHeight="1">
      <c r="B66"/>
      <c r="C66"/>
      <c r="D66"/>
      <c r="E66"/>
      <c r="F66"/>
      <c r="G66"/>
      <c r="H66"/>
      <c r="I66"/>
      <c r="J66"/>
      <c r="K66"/>
      <c r="L66"/>
      <c r="M66"/>
      <c r="N66"/>
    </row>
    <row r="67" spans="2:14" ht="14" customHeight="1">
      <c r="B67"/>
      <c r="C67"/>
      <c r="D67"/>
      <c r="E67"/>
      <c r="F67"/>
      <c r="G67"/>
      <c r="H67"/>
      <c r="I67"/>
      <c r="J67"/>
      <c r="K67"/>
      <c r="L67"/>
      <c r="M67"/>
      <c r="N67"/>
    </row>
    <row r="68" spans="2:14" ht="14" customHeight="1">
      <c r="B68"/>
      <c r="C68"/>
      <c r="D68"/>
      <c r="E68"/>
      <c r="F68"/>
      <c r="G68"/>
      <c r="H68"/>
      <c r="I68"/>
      <c r="J68"/>
      <c r="K68"/>
      <c r="L68"/>
      <c r="M68"/>
      <c r="N68"/>
    </row>
    <row r="69" spans="2:14" ht="14" customHeight="1">
      <c r="B69"/>
      <c r="C69"/>
      <c r="D69"/>
      <c r="E69"/>
      <c r="F69"/>
      <c r="G69"/>
      <c r="H69"/>
      <c r="I69"/>
      <c r="J69"/>
      <c r="K69"/>
      <c r="L69"/>
      <c r="M69"/>
      <c r="N69"/>
    </row>
    <row r="70" spans="2:14" ht="14" customHeight="1">
      <c r="B70"/>
      <c r="C70"/>
      <c r="D70"/>
      <c r="E70"/>
      <c r="F70"/>
      <c r="G70"/>
      <c r="H70"/>
      <c r="I70"/>
      <c r="J70"/>
      <c r="K70"/>
      <c r="L70"/>
      <c r="M70"/>
      <c r="N70"/>
    </row>
    <row r="71" spans="2:14" ht="14" customHeight="1">
      <c r="B71"/>
      <c r="C71"/>
      <c r="D71"/>
      <c r="E71"/>
      <c r="F71"/>
      <c r="G71"/>
      <c r="H71"/>
      <c r="I71"/>
      <c r="J71"/>
      <c r="K71"/>
      <c r="L71"/>
      <c r="M71"/>
      <c r="N71"/>
    </row>
    <row r="72" spans="2:14" ht="14" customHeight="1">
      <c r="B72"/>
      <c r="C72"/>
      <c r="D72"/>
      <c r="E72"/>
      <c r="F72"/>
      <c r="G72"/>
      <c r="H72"/>
      <c r="I72"/>
      <c r="J72"/>
      <c r="K72"/>
      <c r="L72"/>
      <c r="M72"/>
      <c r="N72"/>
    </row>
    <row r="73" spans="2:14" ht="14" customHeight="1">
      <c r="B73"/>
      <c r="C73"/>
      <c r="D73"/>
      <c r="E73"/>
      <c r="F73"/>
      <c r="G73"/>
      <c r="H73"/>
      <c r="I73"/>
      <c r="J73"/>
      <c r="K73"/>
      <c r="L73"/>
      <c r="M73"/>
      <c r="N73"/>
    </row>
    <row r="74" spans="2:14" ht="14" customHeight="1">
      <c r="B74"/>
      <c r="C74"/>
      <c r="D74"/>
      <c r="E74"/>
      <c r="F74"/>
      <c r="G74"/>
      <c r="H74"/>
      <c r="I74"/>
      <c r="J74"/>
      <c r="K74"/>
      <c r="L74"/>
      <c r="M74"/>
      <c r="N74"/>
    </row>
    <row r="75" spans="2:14" ht="14" customHeight="1">
      <c r="B75"/>
      <c r="C75"/>
      <c r="D75"/>
      <c r="E75"/>
      <c r="F75"/>
      <c r="G75"/>
      <c r="H75"/>
      <c r="I75"/>
      <c r="J75"/>
      <c r="K75"/>
      <c r="L75"/>
      <c r="M75"/>
      <c r="N75"/>
    </row>
    <row r="76" spans="2:14" ht="14" customHeight="1">
      <c r="B76"/>
      <c r="C76"/>
      <c r="D76"/>
      <c r="E76"/>
      <c r="F76"/>
      <c r="G76"/>
      <c r="H76"/>
      <c r="I76"/>
      <c r="J76"/>
      <c r="K76"/>
      <c r="L76"/>
      <c r="M76"/>
      <c r="N76"/>
    </row>
    <row r="77" spans="2:14" ht="14" customHeight="1">
      <c r="B77"/>
      <c r="C77"/>
      <c r="D77"/>
      <c r="E77"/>
      <c r="F77"/>
      <c r="G77"/>
      <c r="H77"/>
      <c r="I77"/>
      <c r="J77"/>
      <c r="K77"/>
      <c r="L77"/>
      <c r="M77"/>
      <c r="N77"/>
    </row>
    <row r="78" spans="2:14" ht="14" customHeight="1">
      <c r="B78"/>
      <c r="C78"/>
      <c r="D78"/>
      <c r="E78"/>
      <c r="F78"/>
      <c r="G78"/>
      <c r="H78"/>
      <c r="I78"/>
      <c r="J78"/>
      <c r="K78"/>
      <c r="L78"/>
      <c r="M78"/>
      <c r="N78"/>
    </row>
    <row r="79" spans="2:14" ht="14" customHeight="1">
      <c r="B79"/>
      <c r="C79"/>
      <c r="D79"/>
      <c r="E79"/>
      <c r="F79"/>
      <c r="G79"/>
      <c r="H79"/>
      <c r="I79"/>
      <c r="J79"/>
      <c r="K79"/>
      <c r="L79"/>
      <c r="M79"/>
      <c r="N79"/>
    </row>
    <row r="80" spans="2:14"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row>
    <row r="779" spans="2:14" ht="14" customHeight="1">
      <c r="B779"/>
      <c r="C779"/>
      <c r="D779"/>
    </row>
    <row r="780" spans="2:14" ht="14" customHeight="1">
      <c r="B780"/>
      <c r="C780"/>
      <c r="D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7B0A9-FBB9-4F3D-82C2-7D7F4A301877}">
  <dimension ref="B12:AA59"/>
  <sheetViews>
    <sheetView showGridLines="0" zoomScaleNormal="100" workbookViewId="0">
      <selection activeCell="K57" sqref="K57"/>
    </sheetView>
  </sheetViews>
  <sheetFormatPr defaultColWidth="5.54296875" defaultRowHeight="14" customHeight="1"/>
  <cols>
    <col min="1" max="1" width="4.81640625" style="3" customWidth="1"/>
    <col min="2" max="2" width="28.90625" style="3" bestFit="1" customWidth="1"/>
    <col min="3" max="3" width="17.1796875" style="3" bestFit="1" customWidth="1"/>
    <col min="4" max="11" width="11.08984375" style="3" customWidth="1"/>
    <col min="12" max="12" width="10.26953125" style="3" customWidth="1"/>
    <col min="13" max="13" width="11.26953125" style="3" customWidth="1"/>
    <col min="14" max="14" width="17.1796875" style="3" bestFit="1" customWidth="1"/>
    <col min="15" max="22" width="10.81640625" style="3" customWidth="1"/>
    <col min="23" max="26" width="5.54296875" style="3"/>
    <col min="27" max="27" width="7.90625" style="3" bestFit="1" customWidth="1"/>
    <col min="28" max="16384" width="5.54296875" style="3"/>
  </cols>
  <sheetData>
    <row r="12" spans="2:5" ht="14" customHeight="1">
      <c r="B12"/>
      <c r="C12"/>
    </row>
    <row r="13" spans="2:5" ht="14" customHeight="1">
      <c r="B13"/>
      <c r="C13"/>
    </row>
    <row r="14" spans="2:5" ht="14" customHeight="1">
      <c r="B14"/>
      <c r="C14"/>
    </row>
    <row r="15" spans="2:5" ht="14.5">
      <c r="B15"/>
      <c r="C15"/>
    </row>
    <row r="16" spans="2:5" ht="14.5">
      <c r="B16"/>
      <c r="C16"/>
      <c r="D16" s="4"/>
      <c r="E16" s="4"/>
    </row>
    <row r="17" spans="2:27" ht="14.5">
      <c r="B17"/>
      <c r="C17"/>
    </row>
    <row r="18" spans="2:27" ht="16.5">
      <c r="B18" s="18" t="s">
        <v>2</v>
      </c>
      <c r="C18" s="19" t="s">
        <v>3</v>
      </c>
      <c r="D18" s="15"/>
      <c r="E18" s="15"/>
      <c r="F18" s="15"/>
      <c r="G18" s="15"/>
      <c r="H18" s="15"/>
      <c r="I18" s="15"/>
      <c r="J18" s="15"/>
      <c r="K18" s="15"/>
      <c r="L18" s="16"/>
      <c r="M18" s="16"/>
      <c r="N18"/>
    </row>
    <row r="19" spans="2:27" ht="16.5">
      <c r="B19" s="18" t="s">
        <v>24</v>
      </c>
      <c r="C19" s="19" t="s">
        <v>28</v>
      </c>
      <c r="D19" s="15"/>
      <c r="E19" s="15"/>
      <c r="F19" s="15"/>
      <c r="G19" s="15"/>
      <c r="H19" s="15"/>
      <c r="I19" s="15"/>
      <c r="J19" s="16"/>
      <c r="K19" s="16"/>
      <c r="L19" s="16"/>
      <c r="M19" s="16"/>
      <c r="N19"/>
      <c r="O19"/>
    </row>
    <row r="20" spans="2:27" ht="16.5">
      <c r="B20" s="18" t="s">
        <v>45</v>
      </c>
      <c r="C20" s="19" t="s">
        <v>48</v>
      </c>
      <c r="D20" s="15"/>
      <c r="E20" s="15"/>
      <c r="F20" s="15"/>
      <c r="G20" s="15"/>
      <c r="H20" s="15"/>
      <c r="I20" s="15"/>
      <c r="J20" s="16"/>
      <c r="K20" s="16"/>
      <c r="L20" s="16"/>
      <c r="M20" s="16"/>
      <c r="N20"/>
      <c r="R20"/>
      <c r="S20"/>
      <c r="T20"/>
      <c r="U20" s="4"/>
    </row>
    <row r="21" spans="2:27" ht="16.5">
      <c r="B21" s="15"/>
      <c r="C21" s="15"/>
      <c r="D21" s="15"/>
      <c r="E21" s="15"/>
      <c r="F21" s="15"/>
      <c r="G21" s="15"/>
      <c r="H21" s="15"/>
      <c r="I21" s="15"/>
      <c r="J21" s="16"/>
      <c r="K21" s="16"/>
      <c r="L21" s="16"/>
      <c r="M21" s="16"/>
      <c r="N21" s="4"/>
      <c r="O21" s="4"/>
      <c r="P21" s="4"/>
      <c r="R21"/>
      <c r="S21"/>
      <c r="T21"/>
      <c r="U21" s="4"/>
      <c r="V21" s="4"/>
    </row>
    <row r="22" spans="2:27" ht="14.5">
      <c r="B22" s="18" t="s">
        <v>25</v>
      </c>
      <c r="C22" s="19"/>
      <c r="D22" s="19"/>
      <c r="E22" s="18" t="s">
        <v>0</v>
      </c>
      <c r="F22" s="19"/>
      <c r="G22" s="19"/>
      <c r="H22" s="19"/>
      <c r="I22" s="19"/>
      <c r="J22" s="19"/>
      <c r="K22" s="19"/>
      <c r="L22"/>
      <c r="M22"/>
      <c r="N22"/>
      <c r="O22"/>
      <c r="P22"/>
      <c r="Q22"/>
      <c r="R22"/>
      <c r="S22"/>
      <c r="T22"/>
      <c r="U22"/>
      <c r="V22"/>
      <c r="W22"/>
      <c r="X22"/>
      <c r="Y22"/>
    </row>
    <row r="23" spans="2:27" ht="14.5">
      <c r="B23" s="18" t="s">
        <v>42</v>
      </c>
      <c r="C23" s="18" t="s">
        <v>27</v>
      </c>
      <c r="D23" s="18" t="s">
        <v>29</v>
      </c>
      <c r="E23" s="19">
        <v>2024</v>
      </c>
      <c r="F23" s="19">
        <v>2025</v>
      </c>
      <c r="G23" s="19">
        <v>2026</v>
      </c>
      <c r="H23" s="19">
        <v>2027</v>
      </c>
      <c r="I23" s="19">
        <v>2028</v>
      </c>
      <c r="J23" s="19">
        <v>2029</v>
      </c>
      <c r="K23" s="19">
        <v>2030</v>
      </c>
      <c r="L23"/>
      <c r="M23"/>
      <c r="N23"/>
      <c r="O23"/>
      <c r="P23"/>
      <c r="Q23"/>
      <c r="R23"/>
      <c r="S23"/>
      <c r="T23"/>
      <c r="U23"/>
      <c r="V23"/>
      <c r="W23"/>
      <c r="X23"/>
      <c r="Y23"/>
    </row>
    <row r="24" spans="2:27" ht="14.5">
      <c r="B24" s="19" t="s">
        <v>43</v>
      </c>
      <c r="C24" s="21" t="s">
        <v>30</v>
      </c>
      <c r="D24" s="19" t="s">
        <v>32</v>
      </c>
      <c r="E24" s="20">
        <v>191.85840109</v>
      </c>
      <c r="F24" s="20">
        <v>276.45633142999998</v>
      </c>
      <c r="G24" s="20">
        <v>302.51192928</v>
      </c>
      <c r="H24" s="20">
        <v>319.98364428000002</v>
      </c>
      <c r="I24" s="20">
        <v>268.64568258999998</v>
      </c>
      <c r="J24" s="20">
        <v>160.39151788000001</v>
      </c>
      <c r="K24" s="20">
        <v>73.804200910000006</v>
      </c>
      <c r="L24"/>
      <c r="M24"/>
      <c r="N24"/>
      <c r="O24"/>
      <c r="P24"/>
      <c r="Q24"/>
      <c r="R24"/>
      <c r="S24"/>
      <c r="T24"/>
      <c r="U24"/>
      <c r="V24"/>
      <c r="W24"/>
      <c r="X24"/>
      <c r="Y24"/>
      <c r="Z24"/>
      <c r="AA24"/>
    </row>
    <row r="25" spans="2:27" ht="14.5">
      <c r="B25" s="19"/>
      <c r="C25" s="21"/>
      <c r="D25" s="19" t="s">
        <v>34</v>
      </c>
      <c r="E25" s="20">
        <v>1658.0638059299999</v>
      </c>
      <c r="F25" s="20">
        <v>1577.01510773</v>
      </c>
      <c r="G25" s="20">
        <v>964.42218218000005</v>
      </c>
      <c r="H25" s="20">
        <v>583.23332784000002</v>
      </c>
      <c r="I25" s="20">
        <v>229.69815159999999</v>
      </c>
      <c r="J25" s="20">
        <v>59.621216769999997</v>
      </c>
      <c r="K25" s="20">
        <v>9.5086717499999995</v>
      </c>
      <c r="L25"/>
      <c r="M25"/>
      <c r="N25"/>
      <c r="O25"/>
      <c r="P25"/>
      <c r="Q25"/>
      <c r="R25"/>
      <c r="S25"/>
      <c r="T25"/>
      <c r="U25"/>
      <c r="V25"/>
      <c r="W25"/>
      <c r="X25"/>
      <c r="Y25"/>
      <c r="Z25"/>
      <c r="AA25"/>
    </row>
    <row r="26" spans="2:27" ht="14.5">
      <c r="B26" s="19"/>
      <c r="C26" s="21"/>
      <c r="D26" s="19" t="s">
        <v>35</v>
      </c>
      <c r="E26" s="20">
        <v>2871.2716264000001</v>
      </c>
      <c r="F26" s="20">
        <v>2879.9530821799999</v>
      </c>
      <c r="G26" s="20">
        <v>2947.4188414</v>
      </c>
      <c r="H26" s="20">
        <v>2618.2412612100002</v>
      </c>
      <c r="I26" s="20">
        <v>2144.5577098600002</v>
      </c>
      <c r="J26" s="20">
        <v>1625.75880108</v>
      </c>
      <c r="K26" s="20">
        <v>968.62532538000005</v>
      </c>
      <c r="L26"/>
      <c r="M26"/>
      <c r="N26"/>
      <c r="O26"/>
      <c r="P26"/>
      <c r="Q26"/>
      <c r="R26"/>
      <c r="S26"/>
      <c r="T26"/>
      <c r="U26"/>
      <c r="V26"/>
      <c r="W26"/>
      <c r="X26"/>
      <c r="Y26"/>
      <c r="Z26"/>
      <c r="AA26"/>
    </row>
    <row r="27" spans="2:27" ht="14.5">
      <c r="B27" s="19"/>
      <c r="C27" s="21"/>
      <c r="D27" s="19" t="s">
        <v>36</v>
      </c>
      <c r="E27" s="20">
        <v>106.60450016</v>
      </c>
      <c r="F27" s="20">
        <v>74.395287300000007</v>
      </c>
      <c r="G27" s="20">
        <v>32.306942149999998</v>
      </c>
      <c r="H27" s="20">
        <v>4.82520886</v>
      </c>
      <c r="I27" s="20"/>
      <c r="J27" s="20"/>
      <c r="K27" s="20"/>
      <c r="L27"/>
      <c r="M27"/>
      <c r="N27"/>
      <c r="O27"/>
      <c r="P27"/>
      <c r="Q27"/>
      <c r="R27"/>
      <c r="S27"/>
      <c r="T27"/>
      <c r="U27"/>
      <c r="V27"/>
      <c r="W27"/>
      <c r="X27"/>
      <c r="Y27"/>
      <c r="Z27"/>
      <c r="AA27"/>
    </row>
    <row r="28" spans="2:27" ht="14.5">
      <c r="B28" s="19"/>
      <c r="C28" s="21"/>
      <c r="D28" s="19" t="s">
        <v>37</v>
      </c>
      <c r="E28" s="20">
        <v>4846.2009444699997</v>
      </c>
      <c r="F28" s="20">
        <v>4990.16623153</v>
      </c>
      <c r="G28" s="20">
        <v>5181.6562007100001</v>
      </c>
      <c r="H28" s="20">
        <v>5105.4949029400004</v>
      </c>
      <c r="I28" s="20">
        <v>5088.1456013899997</v>
      </c>
      <c r="J28" s="20">
        <v>4749.4408313200001</v>
      </c>
      <c r="K28" s="20">
        <v>4088.7288604999999</v>
      </c>
      <c r="L28"/>
      <c r="M28"/>
      <c r="N28"/>
      <c r="O28"/>
      <c r="P28"/>
      <c r="Q28"/>
      <c r="R28"/>
      <c r="S28"/>
      <c r="T28"/>
      <c r="U28"/>
      <c r="V28"/>
      <c r="W28"/>
      <c r="X28"/>
      <c r="Y28"/>
      <c r="Z28"/>
      <c r="AA28"/>
    </row>
    <row r="29" spans="2:27" ht="14.5">
      <c r="B29" s="19"/>
      <c r="C29" s="21"/>
      <c r="D29" s="19" t="s">
        <v>38</v>
      </c>
      <c r="E29" s="20">
        <v>5808.0059737299998</v>
      </c>
      <c r="F29" s="20">
        <v>12904.38931946</v>
      </c>
      <c r="G29" s="20">
        <v>20004.269512319999</v>
      </c>
      <c r="H29" s="20">
        <v>25466.994584020002</v>
      </c>
      <c r="I29" s="20">
        <v>29454.01588993</v>
      </c>
      <c r="J29" s="20">
        <v>31106.23490671</v>
      </c>
      <c r="K29" s="20">
        <v>31742.876224539999</v>
      </c>
      <c r="L29"/>
      <c r="M29"/>
      <c r="N29"/>
      <c r="O29"/>
      <c r="P29"/>
      <c r="Q29"/>
      <c r="R29"/>
      <c r="S29"/>
      <c r="T29"/>
      <c r="U29"/>
      <c r="V29"/>
      <c r="W29"/>
      <c r="X29"/>
      <c r="Y29"/>
      <c r="Z29"/>
      <c r="AA29"/>
    </row>
    <row r="30" spans="2:27" ht="14.5">
      <c r="B30" s="19"/>
      <c r="C30" s="21"/>
      <c r="D30" s="19" t="s">
        <v>39</v>
      </c>
      <c r="E30" s="20"/>
      <c r="F30" s="20">
        <v>2006.9266749400001</v>
      </c>
      <c r="G30" s="20">
        <v>3275.14308811</v>
      </c>
      <c r="H30" s="20">
        <v>6860.12073435</v>
      </c>
      <c r="I30" s="20">
        <v>12715.06653041</v>
      </c>
      <c r="J30" s="20">
        <v>21110.028737019999</v>
      </c>
      <c r="K30" s="20">
        <v>31153.729611909999</v>
      </c>
      <c r="L30"/>
      <c r="M30"/>
      <c r="N30"/>
      <c r="O30"/>
      <c r="P30"/>
      <c r="Q30"/>
      <c r="R30"/>
      <c r="S30"/>
      <c r="T30"/>
      <c r="U30"/>
      <c r="V30"/>
      <c r="W30"/>
      <c r="X30"/>
      <c r="Y30"/>
      <c r="Z30"/>
      <c r="AA30"/>
    </row>
    <row r="31" spans="2:27" ht="14.5">
      <c r="B31" s="19"/>
      <c r="C31" s="21" t="s">
        <v>40</v>
      </c>
      <c r="D31" s="19" t="s">
        <v>32</v>
      </c>
      <c r="E31" s="20">
        <v>2.44360767</v>
      </c>
      <c r="F31" s="20">
        <v>79.399542479999994</v>
      </c>
      <c r="G31" s="20">
        <v>13.13354938</v>
      </c>
      <c r="H31" s="20"/>
      <c r="I31" s="20"/>
      <c r="J31" s="20"/>
      <c r="K31" s="20"/>
      <c r="L31"/>
      <c r="M31"/>
      <c r="N31"/>
      <c r="O31"/>
      <c r="P31"/>
      <c r="Q31"/>
      <c r="R31"/>
      <c r="S31"/>
      <c r="T31"/>
      <c r="U31"/>
      <c r="V31"/>
      <c r="W31"/>
      <c r="X31"/>
      <c r="Y31"/>
      <c r="Z31"/>
      <c r="AA31"/>
    </row>
    <row r="32" spans="2:27" ht="14.5">
      <c r="B32" s="19"/>
      <c r="C32" s="21"/>
      <c r="D32" s="19" t="s">
        <v>34</v>
      </c>
      <c r="E32" s="20">
        <v>1088.1881405300001</v>
      </c>
      <c r="F32" s="20">
        <v>417.88971268</v>
      </c>
      <c r="G32" s="20">
        <v>114.73521286</v>
      </c>
      <c r="H32" s="20">
        <v>30.11607996</v>
      </c>
      <c r="I32" s="20">
        <v>6.63823674</v>
      </c>
      <c r="J32" s="20">
        <v>1.3343004000000001</v>
      </c>
      <c r="K32" s="20">
        <v>0.16439118999999999</v>
      </c>
      <c r="L32"/>
      <c r="M32"/>
      <c r="N32"/>
      <c r="O32"/>
      <c r="P32"/>
      <c r="Q32"/>
      <c r="R32"/>
      <c r="S32"/>
      <c r="T32"/>
      <c r="U32"/>
      <c r="V32"/>
      <c r="W32"/>
      <c r="X32"/>
      <c r="Y32"/>
      <c r="Z32"/>
      <c r="AA32"/>
    </row>
    <row r="33" spans="2:27" ht="14.5">
      <c r="B33" s="19"/>
      <c r="C33" s="21"/>
      <c r="D33" s="19" t="s">
        <v>35</v>
      </c>
      <c r="E33" s="20">
        <v>19.379328940000001</v>
      </c>
      <c r="F33" s="20">
        <v>21.594699349999999</v>
      </c>
      <c r="G33" s="20">
        <v>18.727996940000001</v>
      </c>
      <c r="H33" s="20">
        <v>15.796128489999999</v>
      </c>
      <c r="I33" s="20">
        <v>11.27309966</v>
      </c>
      <c r="J33" s="20">
        <v>6.8966719100000002</v>
      </c>
      <c r="K33" s="20">
        <v>3.68659632</v>
      </c>
      <c r="L33"/>
      <c r="M33"/>
      <c r="N33"/>
      <c r="O33"/>
      <c r="P33"/>
      <c r="Q33"/>
      <c r="R33"/>
      <c r="S33"/>
      <c r="T33"/>
      <c r="U33"/>
      <c r="V33"/>
      <c r="W33"/>
      <c r="X33"/>
      <c r="Y33"/>
      <c r="Z33"/>
      <c r="AA33"/>
    </row>
    <row r="34" spans="2:27" ht="14.5">
      <c r="B34" s="19"/>
      <c r="C34" s="21"/>
      <c r="D34" s="19" t="s">
        <v>36</v>
      </c>
      <c r="E34" s="20">
        <v>376.23126228000001</v>
      </c>
      <c r="F34" s="20">
        <v>704.98975015999997</v>
      </c>
      <c r="G34" s="20">
        <v>220.51138017</v>
      </c>
      <c r="H34" s="20">
        <v>23.713977360000001</v>
      </c>
      <c r="I34" s="20"/>
      <c r="J34" s="20"/>
      <c r="K34" s="20"/>
      <c r="L34"/>
      <c r="M34"/>
      <c r="N34"/>
      <c r="O34"/>
      <c r="P34"/>
      <c r="Q34"/>
      <c r="R34"/>
      <c r="S34"/>
      <c r="T34"/>
      <c r="U34"/>
      <c r="V34"/>
      <c r="W34"/>
      <c r="X34"/>
      <c r="Y34"/>
      <c r="Z34"/>
      <c r="AA34"/>
    </row>
    <row r="35" spans="2:27" ht="14.5">
      <c r="B35" s="19"/>
      <c r="C35" s="21"/>
      <c r="D35" s="19" t="s">
        <v>37</v>
      </c>
      <c r="E35" s="20">
        <v>3687.57309433</v>
      </c>
      <c r="F35" s="20">
        <v>3360.6079504600002</v>
      </c>
      <c r="G35" s="20">
        <v>4071.1812856400002</v>
      </c>
      <c r="H35" s="20">
        <v>3623.2843355499999</v>
      </c>
      <c r="I35" s="20">
        <v>3094.4675762699999</v>
      </c>
      <c r="J35" s="20">
        <v>2441.21201974</v>
      </c>
      <c r="K35" s="20">
        <v>1694.5655754100001</v>
      </c>
      <c r="L35"/>
      <c r="M35"/>
      <c r="N35"/>
      <c r="O35"/>
      <c r="P35"/>
      <c r="Q35"/>
      <c r="R35"/>
      <c r="S35"/>
      <c r="T35"/>
      <c r="U35"/>
      <c r="V35"/>
      <c r="W35"/>
      <c r="X35"/>
      <c r="Y35"/>
      <c r="Z35"/>
      <c r="AA35"/>
    </row>
    <row r="36" spans="2:27" ht="14.5">
      <c r="B36" s="19"/>
      <c r="C36" s="21"/>
      <c r="D36" s="19" t="s">
        <v>38</v>
      </c>
      <c r="E36" s="20">
        <v>1904.94145757</v>
      </c>
      <c r="F36" s="20">
        <v>1706.6601359900001</v>
      </c>
      <c r="G36" s="20">
        <v>2185.17933154</v>
      </c>
      <c r="H36" s="20">
        <v>2753.0140817699998</v>
      </c>
      <c r="I36" s="20">
        <v>3321.5159756500002</v>
      </c>
      <c r="J36" s="20">
        <v>3509.65495538</v>
      </c>
      <c r="K36" s="20">
        <v>3558.909584</v>
      </c>
      <c r="L36"/>
      <c r="M36"/>
      <c r="N36"/>
      <c r="O36"/>
      <c r="P36"/>
      <c r="Q36"/>
      <c r="R36"/>
      <c r="S36"/>
      <c r="T36"/>
      <c r="U36"/>
      <c r="V36"/>
      <c r="W36"/>
      <c r="X36"/>
      <c r="Y36"/>
      <c r="Z36"/>
      <c r="AA36"/>
    </row>
    <row r="37" spans="2:27" ht="14.5">
      <c r="B37" s="19"/>
      <c r="C37" s="21"/>
      <c r="D37" s="19" t="s">
        <v>39</v>
      </c>
      <c r="E37" s="20"/>
      <c r="F37" s="20">
        <v>13.83767359</v>
      </c>
      <c r="G37" s="20">
        <v>212.72082574999999</v>
      </c>
      <c r="H37" s="20">
        <v>581.44312706999995</v>
      </c>
      <c r="I37" s="20">
        <v>1223.77166225</v>
      </c>
      <c r="J37" s="20">
        <v>2094.1275445299998</v>
      </c>
      <c r="K37" s="20">
        <v>3130.7927201000002</v>
      </c>
      <c r="L37"/>
      <c r="M37"/>
      <c r="N37"/>
      <c r="O37"/>
      <c r="P37"/>
      <c r="Q37"/>
      <c r="R37"/>
      <c r="S37"/>
      <c r="T37"/>
      <c r="U37"/>
      <c r="V37"/>
      <c r="W37"/>
      <c r="X37"/>
      <c r="Y37"/>
      <c r="Z37"/>
      <c r="AA37"/>
    </row>
    <row r="38" spans="2:27" ht="14.5">
      <c r="B38" s="19" t="s">
        <v>52</v>
      </c>
      <c r="C38" s="19"/>
      <c r="D38" s="19"/>
      <c r="E38" s="20">
        <v>22560.762143100001</v>
      </c>
      <c r="F38" s="20">
        <v>31014.281499280001</v>
      </c>
      <c r="G38" s="20">
        <v>39543.918278429999</v>
      </c>
      <c r="H38" s="20">
        <v>47986.261393699999</v>
      </c>
      <c r="I38" s="20">
        <v>57557.796116349993</v>
      </c>
      <c r="J38" s="20">
        <v>66864.70150273999</v>
      </c>
      <c r="K38" s="20">
        <v>76425.391762009982</v>
      </c>
      <c r="L38"/>
      <c r="M38"/>
      <c r="N38"/>
      <c r="O38"/>
      <c r="P38"/>
      <c r="Q38"/>
      <c r="R38"/>
      <c r="S38"/>
      <c r="T38"/>
      <c r="U38"/>
      <c r="V38"/>
      <c r="W38"/>
      <c r="X38"/>
      <c r="Y38"/>
      <c r="Z38"/>
      <c r="AA38"/>
    </row>
    <row r="39" spans="2:27" ht="14.5">
      <c r="B39" s="19" t="s">
        <v>44</v>
      </c>
      <c r="C39" s="21" t="s">
        <v>30</v>
      </c>
      <c r="D39" s="19" t="s">
        <v>31</v>
      </c>
      <c r="E39" s="20">
        <v>97.727782210000001</v>
      </c>
      <c r="F39" s="20">
        <v>139.09772831000001</v>
      </c>
      <c r="G39" s="20">
        <v>91.992403420000002</v>
      </c>
      <c r="H39" s="20">
        <v>32.448946640000003</v>
      </c>
      <c r="I39" s="20"/>
      <c r="J39" s="20"/>
      <c r="K39" s="20"/>
      <c r="L39"/>
      <c r="M39"/>
      <c r="N39"/>
      <c r="O39"/>
      <c r="P39"/>
      <c r="Q39"/>
      <c r="R39"/>
      <c r="S39"/>
      <c r="T39"/>
      <c r="U39"/>
      <c r="V39"/>
      <c r="W39"/>
      <c r="X39"/>
      <c r="Y39"/>
      <c r="Z39"/>
      <c r="AA39"/>
    </row>
    <row r="40" spans="2:27" ht="14.5">
      <c r="B40" s="19"/>
      <c r="C40" s="21"/>
      <c r="D40" s="19" t="s">
        <v>32</v>
      </c>
      <c r="E40" s="20">
        <v>9344.7804041799991</v>
      </c>
      <c r="F40" s="20">
        <v>8268.2975412899996</v>
      </c>
      <c r="G40" s="20">
        <v>7447.8725333800003</v>
      </c>
      <c r="H40" s="20">
        <v>6353.3015100700004</v>
      </c>
      <c r="I40" s="20">
        <v>5355.8340029000001</v>
      </c>
      <c r="J40" s="20">
        <v>4424.8348758299999</v>
      </c>
      <c r="K40" s="20">
        <v>3706.03258624</v>
      </c>
      <c r="L40"/>
      <c r="M40"/>
      <c r="N40"/>
      <c r="O40"/>
      <c r="P40"/>
      <c r="Q40"/>
      <c r="R40"/>
      <c r="S40"/>
      <c r="T40"/>
      <c r="U40"/>
      <c r="V40"/>
      <c r="W40"/>
      <c r="X40"/>
      <c r="Y40"/>
      <c r="Z40"/>
      <c r="AA40"/>
    </row>
    <row r="41" spans="2:27" ht="14.5">
      <c r="B41" s="19"/>
      <c r="C41" s="21"/>
      <c r="D41" s="19" t="s">
        <v>33</v>
      </c>
      <c r="E41" s="20">
        <v>465.16581987000001</v>
      </c>
      <c r="F41" s="20">
        <v>596.88198291000003</v>
      </c>
      <c r="G41" s="20">
        <v>871.03098589000001</v>
      </c>
      <c r="H41" s="20">
        <v>1594.2671846400001</v>
      </c>
      <c r="I41" s="20">
        <v>2151.3077989399999</v>
      </c>
      <c r="J41" s="20">
        <v>2703.2421831699999</v>
      </c>
      <c r="K41" s="20">
        <v>3192.2414404000001</v>
      </c>
      <c r="L41"/>
      <c r="M41"/>
      <c r="N41"/>
      <c r="O41"/>
      <c r="P41"/>
      <c r="Q41"/>
      <c r="R41"/>
      <c r="S41"/>
      <c r="T41"/>
      <c r="U41"/>
      <c r="V41"/>
      <c r="W41"/>
      <c r="X41"/>
      <c r="Y41"/>
      <c r="Z41"/>
      <c r="AA41"/>
    </row>
    <row r="42" spans="2:27" ht="14.5">
      <c r="B42" s="19"/>
      <c r="C42" s="21"/>
      <c r="D42" s="19" t="s">
        <v>34</v>
      </c>
      <c r="E42" s="20">
        <v>4120.9612069900004</v>
      </c>
      <c r="F42" s="20">
        <v>3883.07903412</v>
      </c>
      <c r="G42" s="20">
        <v>5079.3919786899996</v>
      </c>
      <c r="H42" s="20">
        <v>5988.2093131800002</v>
      </c>
      <c r="I42" s="20">
        <v>6610.6537271500001</v>
      </c>
      <c r="J42" s="20">
        <v>7158.1443306199999</v>
      </c>
      <c r="K42" s="20">
        <v>7641.0673506900002</v>
      </c>
      <c r="L42"/>
      <c r="M42"/>
      <c r="N42"/>
      <c r="O42"/>
      <c r="P42"/>
      <c r="Q42"/>
      <c r="R42"/>
      <c r="S42"/>
      <c r="T42"/>
      <c r="U42"/>
      <c r="V42"/>
      <c r="W42"/>
      <c r="X42"/>
      <c r="Y42"/>
      <c r="Z42"/>
      <c r="AA42"/>
    </row>
    <row r="43" spans="2:27" ht="14.5">
      <c r="B43" s="19"/>
      <c r="C43" s="21"/>
      <c r="D43" s="19" t="s">
        <v>35</v>
      </c>
      <c r="E43" s="20">
        <v>82.128408230000005</v>
      </c>
      <c r="F43" s="20">
        <v>99.786253590000001</v>
      </c>
      <c r="G43" s="20">
        <v>197.49615460000001</v>
      </c>
      <c r="H43" s="20">
        <v>337.03181862999998</v>
      </c>
      <c r="I43" s="20">
        <v>483.16729608000003</v>
      </c>
      <c r="J43" s="20">
        <v>624.57136654999999</v>
      </c>
      <c r="K43" s="20">
        <v>721.38224442000001</v>
      </c>
      <c r="L43"/>
      <c r="M43"/>
      <c r="N43"/>
      <c r="O43"/>
      <c r="P43"/>
      <c r="Q43"/>
      <c r="R43"/>
      <c r="S43"/>
      <c r="T43"/>
      <c r="U43"/>
      <c r="V43"/>
      <c r="W43"/>
      <c r="X43"/>
      <c r="Y43"/>
      <c r="Z43"/>
      <c r="AA43"/>
    </row>
    <row r="44" spans="2:27" ht="14.5">
      <c r="B44" s="19"/>
      <c r="C44" s="21"/>
      <c r="D44" s="19" t="s">
        <v>36</v>
      </c>
      <c r="E44" s="20">
        <v>216.66717496000001</v>
      </c>
      <c r="F44" s="20">
        <v>236.33483681000001</v>
      </c>
      <c r="G44" s="20">
        <v>55.699062920000003</v>
      </c>
      <c r="H44" s="20">
        <v>9.2517774799999994</v>
      </c>
      <c r="I44" s="20"/>
      <c r="J44" s="20"/>
      <c r="K44" s="20"/>
      <c r="L44"/>
      <c r="M44"/>
      <c r="N44"/>
      <c r="O44"/>
      <c r="P44"/>
      <c r="Q44"/>
      <c r="R44"/>
      <c r="S44"/>
      <c r="T44"/>
      <c r="U44"/>
      <c r="V44"/>
      <c r="W44"/>
      <c r="X44"/>
      <c r="Y44"/>
      <c r="Z44"/>
      <c r="AA44"/>
    </row>
    <row r="45" spans="2:27" ht="14.5">
      <c r="B45" s="19"/>
      <c r="C45" s="21"/>
      <c r="D45" s="19" t="s">
        <v>37</v>
      </c>
      <c r="E45" s="20">
        <v>426.31286030000001</v>
      </c>
      <c r="F45" s="20">
        <v>592.09010540999998</v>
      </c>
      <c r="G45" s="20">
        <v>872.82530014999998</v>
      </c>
      <c r="H45" s="20">
        <v>1136.3838617900001</v>
      </c>
      <c r="I45" s="20">
        <v>1409.9035498200001</v>
      </c>
      <c r="J45" s="20">
        <v>1662.8223310200001</v>
      </c>
      <c r="K45" s="20">
        <v>1885.12841832</v>
      </c>
      <c r="L45"/>
      <c r="M45"/>
      <c r="N45"/>
      <c r="O45"/>
      <c r="P45"/>
      <c r="Q45"/>
      <c r="R45"/>
      <c r="S45"/>
      <c r="T45"/>
      <c r="U45"/>
      <c r="V45"/>
      <c r="W45"/>
      <c r="X45"/>
      <c r="Y45"/>
      <c r="Z45"/>
      <c r="AA45"/>
    </row>
    <row r="46" spans="2:27" ht="14.5">
      <c r="B46" s="19"/>
      <c r="C46" s="21" t="s">
        <v>41</v>
      </c>
      <c r="D46" s="19" t="s">
        <v>31</v>
      </c>
      <c r="E46" s="20">
        <v>87.743112109999998</v>
      </c>
      <c r="F46" s="20">
        <v>199.47517139999999</v>
      </c>
      <c r="G46" s="20">
        <v>81.576355989999996</v>
      </c>
      <c r="H46" s="20">
        <v>22.5304489</v>
      </c>
      <c r="I46" s="20"/>
      <c r="J46" s="20"/>
      <c r="K46" s="20"/>
      <c r="L46"/>
      <c r="M46"/>
      <c r="N46"/>
      <c r="O46"/>
      <c r="P46"/>
      <c r="Q46"/>
      <c r="R46"/>
      <c r="S46"/>
      <c r="T46"/>
      <c r="U46"/>
      <c r="V46"/>
      <c r="W46"/>
      <c r="X46"/>
      <c r="Y46"/>
      <c r="Z46"/>
      <c r="AA46"/>
    </row>
    <row r="47" spans="2:27" ht="14.5">
      <c r="B47" s="19"/>
      <c r="C47" s="21"/>
      <c r="D47" s="19" t="s">
        <v>32</v>
      </c>
      <c r="E47" s="20">
        <v>287.08932728000002</v>
      </c>
      <c r="F47" s="20">
        <v>476.58289667999998</v>
      </c>
      <c r="G47" s="20">
        <v>251.46243656999999</v>
      </c>
      <c r="H47" s="20">
        <v>103.85935773</v>
      </c>
      <c r="I47" s="20">
        <v>36.575357220000001</v>
      </c>
      <c r="J47" s="20">
        <v>11.22271033</v>
      </c>
      <c r="K47" s="20">
        <v>3.0003909200000001</v>
      </c>
      <c r="L47"/>
      <c r="M47"/>
      <c r="N47"/>
      <c r="O47"/>
      <c r="P47"/>
      <c r="Q47"/>
      <c r="R47"/>
      <c r="S47"/>
      <c r="T47"/>
      <c r="U47"/>
      <c r="V47"/>
      <c r="W47"/>
      <c r="X47"/>
      <c r="Y47"/>
      <c r="Z47"/>
      <c r="AA47"/>
    </row>
    <row r="48" spans="2:27" ht="14.5">
      <c r="B48" s="19"/>
      <c r="C48" s="21" t="s">
        <v>40</v>
      </c>
      <c r="D48" s="19" t="s">
        <v>31</v>
      </c>
      <c r="E48" s="20">
        <v>3.5558939999999997E-2</v>
      </c>
      <c r="F48" s="20"/>
      <c r="G48" s="20"/>
      <c r="H48" s="20"/>
      <c r="I48" s="20"/>
      <c r="J48" s="20"/>
      <c r="K48" s="20"/>
      <c r="L48"/>
      <c r="M48"/>
      <c r="N48"/>
      <c r="O48"/>
      <c r="P48"/>
      <c r="Q48"/>
      <c r="R48"/>
      <c r="S48"/>
      <c r="T48"/>
      <c r="U48"/>
      <c r="V48"/>
      <c r="W48"/>
      <c r="X48"/>
      <c r="Y48"/>
      <c r="Z48"/>
      <c r="AA48"/>
    </row>
    <row r="49" spans="2:27" ht="14.5">
      <c r="B49" s="19"/>
      <c r="C49" s="21"/>
      <c r="D49" s="19" t="s">
        <v>32</v>
      </c>
      <c r="E49" s="20">
        <v>1132.0530692</v>
      </c>
      <c r="F49" s="20">
        <v>1148.1381820399999</v>
      </c>
      <c r="G49" s="20">
        <v>1067.1424718400001</v>
      </c>
      <c r="H49" s="20">
        <v>923.95995733999996</v>
      </c>
      <c r="I49" s="20">
        <v>798.01559354999995</v>
      </c>
      <c r="J49" s="20">
        <v>668.35198931000002</v>
      </c>
      <c r="K49" s="20">
        <v>524.38718602999995</v>
      </c>
      <c r="L49"/>
      <c r="M49"/>
      <c r="N49"/>
      <c r="O49"/>
      <c r="P49"/>
      <c r="Q49"/>
      <c r="R49"/>
      <c r="S49"/>
      <c r="T49"/>
      <c r="U49"/>
      <c r="V49"/>
      <c r="W49"/>
      <c r="X49"/>
      <c r="Y49"/>
      <c r="Z49"/>
      <c r="AA49"/>
    </row>
    <row r="50" spans="2:27" ht="14.5">
      <c r="B50" s="19"/>
      <c r="C50" s="21"/>
      <c r="D50" s="19" t="s">
        <v>33</v>
      </c>
      <c r="E50" s="20">
        <v>24.848116749999999</v>
      </c>
      <c r="F50" s="20">
        <v>103.95770899</v>
      </c>
      <c r="G50" s="20">
        <v>152.9956492</v>
      </c>
      <c r="H50" s="20">
        <v>204.64053978000001</v>
      </c>
      <c r="I50" s="20">
        <v>241.19982557</v>
      </c>
      <c r="J50" s="20">
        <v>267.11149420999999</v>
      </c>
      <c r="K50" s="20">
        <v>288.96693655000001</v>
      </c>
      <c r="L50"/>
      <c r="M50"/>
      <c r="N50"/>
      <c r="O50"/>
      <c r="P50"/>
      <c r="Q50"/>
      <c r="R50"/>
      <c r="S50"/>
      <c r="T50"/>
      <c r="U50"/>
      <c r="V50"/>
      <c r="W50"/>
      <c r="X50"/>
      <c r="Y50"/>
      <c r="Z50"/>
      <c r="AA50"/>
    </row>
    <row r="51" spans="2:27" ht="14.5">
      <c r="B51" s="19"/>
      <c r="C51" s="21"/>
      <c r="D51" s="19" t="s">
        <v>34</v>
      </c>
      <c r="E51" s="20">
        <v>2290.4330850400002</v>
      </c>
      <c r="F51" s="20">
        <v>2290.9766533299999</v>
      </c>
      <c r="G51" s="20">
        <v>2702.5524557600002</v>
      </c>
      <c r="H51" s="20">
        <v>2846.9770807</v>
      </c>
      <c r="I51" s="20">
        <v>2984.09659384</v>
      </c>
      <c r="J51" s="20">
        <v>3023.3410580499999</v>
      </c>
      <c r="K51" s="20">
        <v>3044.2907365900001</v>
      </c>
      <c r="L51"/>
      <c r="M51"/>
      <c r="N51"/>
      <c r="O51"/>
      <c r="P51"/>
      <c r="Q51"/>
      <c r="R51"/>
      <c r="S51"/>
      <c r="T51"/>
      <c r="U51"/>
      <c r="V51"/>
      <c r="W51"/>
      <c r="X51"/>
      <c r="Y51"/>
      <c r="Z51"/>
      <c r="AA51"/>
    </row>
    <row r="52" spans="2:27" ht="14.5">
      <c r="B52" s="19"/>
      <c r="C52" s="21"/>
      <c r="D52" s="19" t="s">
        <v>35</v>
      </c>
      <c r="E52" s="20">
        <v>28.961128689999999</v>
      </c>
      <c r="F52" s="20">
        <v>62.089925430000001</v>
      </c>
      <c r="G52" s="20">
        <v>77.096463540000002</v>
      </c>
      <c r="H52" s="20">
        <v>104.50516852</v>
      </c>
      <c r="I52" s="20">
        <v>149.53109161</v>
      </c>
      <c r="J52" s="20">
        <v>179.42531459</v>
      </c>
      <c r="K52" s="20">
        <v>208.84524861</v>
      </c>
      <c r="L52"/>
      <c r="M52"/>
      <c r="N52"/>
      <c r="O52"/>
      <c r="P52"/>
      <c r="Q52"/>
      <c r="R52"/>
      <c r="S52"/>
      <c r="T52"/>
      <c r="U52"/>
      <c r="V52"/>
      <c r="W52"/>
      <c r="X52"/>
      <c r="Y52"/>
      <c r="Z52"/>
      <c r="AA52"/>
    </row>
    <row r="53" spans="2:27" ht="14.5">
      <c r="B53" s="19"/>
      <c r="C53" s="21"/>
      <c r="D53" s="19" t="s">
        <v>36</v>
      </c>
      <c r="E53" s="20">
        <v>265.60959635</v>
      </c>
      <c r="F53" s="20">
        <v>202.65598302999999</v>
      </c>
      <c r="G53" s="20">
        <v>53.762948229999999</v>
      </c>
      <c r="H53" s="20">
        <v>6.6167592500000003</v>
      </c>
      <c r="I53" s="20"/>
      <c r="J53" s="20"/>
      <c r="K53" s="20"/>
      <c r="L53"/>
      <c r="M53"/>
      <c r="N53"/>
      <c r="O53"/>
      <c r="P53"/>
      <c r="Q53"/>
      <c r="R53"/>
      <c r="S53"/>
      <c r="T53"/>
      <c r="U53"/>
      <c r="V53"/>
      <c r="W53"/>
      <c r="X53"/>
      <c r="Y53"/>
      <c r="Z53"/>
      <c r="AA53"/>
    </row>
    <row r="54" spans="2:27" ht="14.5">
      <c r="B54" s="19"/>
      <c r="C54" s="21"/>
      <c r="D54" s="19" t="s">
        <v>37</v>
      </c>
      <c r="E54" s="20">
        <v>293.93672509999999</v>
      </c>
      <c r="F54" s="20">
        <v>181.9728562</v>
      </c>
      <c r="G54" s="20">
        <v>321.01098382999999</v>
      </c>
      <c r="H54" s="20">
        <v>422.19860378999999</v>
      </c>
      <c r="I54" s="20">
        <v>487.60480147999999</v>
      </c>
      <c r="J54" s="20">
        <v>545.85958068000002</v>
      </c>
      <c r="K54" s="20">
        <v>591.68330827</v>
      </c>
      <c r="L54"/>
      <c r="M54"/>
      <c r="N54"/>
      <c r="O54"/>
      <c r="P54"/>
      <c r="Q54"/>
      <c r="R54"/>
      <c r="S54"/>
      <c r="T54"/>
      <c r="U54"/>
      <c r="V54"/>
      <c r="W54"/>
      <c r="X54"/>
      <c r="Y54"/>
      <c r="Z54"/>
      <c r="AA54"/>
    </row>
    <row r="55" spans="2:27" ht="14.5">
      <c r="B55" s="19"/>
      <c r="C55" s="21"/>
      <c r="D55" s="19" t="s">
        <v>38</v>
      </c>
      <c r="E55" s="20">
        <v>3.4017609999999997E-2</v>
      </c>
      <c r="F55" s="20"/>
      <c r="G55" s="20"/>
      <c r="H55" s="20"/>
      <c r="I55" s="20"/>
      <c r="J55" s="20"/>
      <c r="K55" s="20"/>
      <c r="L55"/>
      <c r="M55"/>
      <c r="N55"/>
      <c r="O55"/>
      <c r="P55"/>
      <c r="Q55"/>
      <c r="R55"/>
      <c r="S55"/>
      <c r="T55"/>
      <c r="U55"/>
      <c r="V55"/>
      <c r="W55"/>
      <c r="X55"/>
      <c r="Y55"/>
      <c r="Z55"/>
      <c r="AA55"/>
    </row>
    <row r="56" spans="2:27" ht="14.5">
      <c r="B56" s="19" t="s">
        <v>53</v>
      </c>
      <c r="C56" s="19"/>
      <c r="D56" s="19"/>
      <c r="E56" s="20">
        <v>19164.487393809999</v>
      </c>
      <c r="F56" s="20">
        <v>18481.416859539993</v>
      </c>
      <c r="G56" s="20">
        <v>19323.908184010004</v>
      </c>
      <c r="H56" s="20">
        <v>20086.182328439998</v>
      </c>
      <c r="I56" s="20">
        <v>20707.889638159995</v>
      </c>
      <c r="J56" s="20">
        <v>21268.927234359995</v>
      </c>
      <c r="K56" s="20">
        <v>21807.025847039997</v>
      </c>
      <c r="L56"/>
      <c r="M56"/>
      <c r="N56"/>
      <c r="O56"/>
      <c r="P56"/>
      <c r="Q56"/>
      <c r="R56"/>
      <c r="S56"/>
      <c r="T56"/>
      <c r="U56"/>
      <c r="V56"/>
      <c r="W56"/>
      <c r="X56"/>
      <c r="Y56"/>
      <c r="Z56"/>
      <c r="AA56"/>
    </row>
    <row r="57" spans="2:27" ht="14.5">
      <c r="B57" s="19" t="s">
        <v>26</v>
      </c>
      <c r="C57" s="19"/>
      <c r="D57" s="19"/>
      <c r="E57" s="20">
        <v>41725.24953691</v>
      </c>
      <c r="F57" s="20">
        <v>49495.698358820009</v>
      </c>
      <c r="G57" s="20">
        <v>58867.826462440004</v>
      </c>
      <c r="H57" s="20">
        <v>68072.443722139986</v>
      </c>
      <c r="I57" s="20">
        <v>78265.685754510007</v>
      </c>
      <c r="J57" s="20">
        <v>88133.628737099978</v>
      </c>
      <c r="K57" s="20">
        <v>98232.417609050011</v>
      </c>
      <c r="M57"/>
      <c r="N57"/>
      <c r="O57"/>
      <c r="P57"/>
      <c r="Q57"/>
      <c r="R57"/>
    </row>
    <row r="58" spans="2:27" ht="14" customHeight="1">
      <c r="M58"/>
      <c r="N58"/>
      <c r="O58"/>
      <c r="P58"/>
      <c r="Q58"/>
      <c r="R58"/>
    </row>
    <row r="59" spans="2:27" ht="14" customHeight="1">
      <c r="M59"/>
      <c r="N59"/>
      <c r="O59"/>
      <c r="P59"/>
      <c r="Q59"/>
      <c r="R59"/>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FAEF-B101-451B-AA5A-17C5D99DDB1F}">
  <dimension ref="B12:AA2232"/>
  <sheetViews>
    <sheetView showGridLines="0" zoomScaleNormal="100" workbookViewId="0">
      <selection activeCell="H24" sqref="H24"/>
    </sheetView>
  </sheetViews>
  <sheetFormatPr defaultColWidth="5.54296875" defaultRowHeight="14" customHeight="1"/>
  <cols>
    <col min="1" max="1" width="4.81640625" style="3" customWidth="1"/>
    <col min="2" max="2" width="28.90625" style="3" bestFit="1" customWidth="1"/>
    <col min="3" max="3" width="17.1796875" style="3" bestFit="1" customWidth="1"/>
    <col min="4" max="11" width="11.08984375" style="3" customWidth="1"/>
    <col min="12" max="12" width="9.1796875" style="3" customWidth="1"/>
    <col min="13" max="13" width="11.269531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7" spans="2:27" ht="14.5">
      <c r="B17"/>
      <c r="C17"/>
    </row>
    <row r="18" spans="2:27" ht="16.5">
      <c r="B18" s="18" t="s">
        <v>2</v>
      </c>
      <c r="C18" s="19" t="s">
        <v>3</v>
      </c>
      <c r="D18" s="15"/>
      <c r="E18" s="15"/>
      <c r="F18" s="15"/>
      <c r="G18" s="15"/>
      <c r="H18" s="15"/>
      <c r="I18" s="15"/>
      <c r="J18" s="15"/>
      <c r="K18" s="15"/>
      <c r="L18" s="16"/>
      <c r="M18" s="16"/>
      <c r="N18"/>
    </row>
    <row r="19" spans="2:27" ht="16.5">
      <c r="B19" s="18" t="s">
        <v>45</v>
      </c>
      <c r="C19" s="19" t="s">
        <v>48</v>
      </c>
      <c r="D19" s="15"/>
      <c r="E19" s="15"/>
      <c r="F19" s="15"/>
      <c r="G19" s="15"/>
      <c r="H19" s="15"/>
      <c r="I19" s="15"/>
      <c r="J19" s="16"/>
      <c r="K19" s="16"/>
      <c r="L19" s="16"/>
      <c r="M19" s="16"/>
      <c r="N19"/>
      <c r="O19"/>
    </row>
    <row r="20" spans="2:27" ht="16.5">
      <c r="B20" s="15"/>
      <c r="C20" s="15"/>
      <c r="D20" s="15"/>
      <c r="E20" s="15"/>
      <c r="F20" s="15"/>
      <c r="G20" s="15"/>
      <c r="H20" s="15"/>
      <c r="I20" s="15"/>
      <c r="J20" s="16"/>
      <c r="K20" s="16"/>
      <c r="L20" s="16"/>
      <c r="M20" s="16"/>
      <c r="N20"/>
      <c r="R20"/>
      <c r="S20"/>
      <c r="T20"/>
      <c r="U20" s="4"/>
    </row>
    <row r="21" spans="2:27" ht="16.5">
      <c r="B21" s="18" t="s">
        <v>25</v>
      </c>
      <c r="C21" s="18" t="s">
        <v>0</v>
      </c>
      <c r="D21" s="19"/>
      <c r="E21" s="19"/>
      <c r="F21" s="19"/>
      <c r="G21" s="19"/>
      <c r="H21" s="19"/>
      <c r="I21" s="15"/>
      <c r="J21" s="16"/>
      <c r="K21" s="16"/>
      <c r="L21" s="16"/>
      <c r="M21" s="16"/>
      <c r="N21" s="4"/>
      <c r="O21" s="4"/>
      <c r="P21" s="4"/>
      <c r="R21"/>
      <c r="S21"/>
      <c r="T21"/>
      <c r="U21" s="4"/>
      <c r="V21" s="4"/>
    </row>
    <row r="22" spans="2:27" ht="16.5">
      <c r="B22" s="18" t="s">
        <v>24</v>
      </c>
      <c r="C22" s="19">
        <v>2025</v>
      </c>
      <c r="D22" s="19">
        <v>2026</v>
      </c>
      <c r="E22" s="19">
        <v>2027</v>
      </c>
      <c r="F22" s="19">
        <v>2028</v>
      </c>
      <c r="G22" s="19">
        <v>2029</v>
      </c>
      <c r="H22" s="19">
        <v>2030</v>
      </c>
      <c r="I22"/>
      <c r="J22"/>
      <c r="K22"/>
      <c r="L22"/>
      <c r="M22" s="16"/>
      <c r="N22" s="4"/>
      <c r="O22" s="4"/>
      <c r="P22" s="4"/>
      <c r="Q22"/>
      <c r="R22"/>
      <c r="S22"/>
      <c r="T22"/>
      <c r="U22" s="4"/>
      <c r="V22" s="4"/>
    </row>
    <row r="23" spans="2:27" ht="16.5">
      <c r="B23" s="19" t="s">
        <v>46</v>
      </c>
      <c r="C23" s="20">
        <v>507.69272925999996</v>
      </c>
      <c r="D23" s="20">
        <v>575.29594376</v>
      </c>
      <c r="E23" s="20">
        <v>636.62074794</v>
      </c>
      <c r="F23" s="20">
        <v>696.69174770999996</v>
      </c>
      <c r="G23" s="20">
        <v>752.96717965000005</v>
      </c>
      <c r="H23" s="20">
        <v>807.63774974</v>
      </c>
      <c r="I23"/>
      <c r="J23"/>
      <c r="K23"/>
      <c r="L23"/>
      <c r="M23" s="16"/>
      <c r="N23" s="4"/>
      <c r="O23" s="4"/>
      <c r="P23" s="4"/>
      <c r="Q23"/>
      <c r="R23"/>
      <c r="S23"/>
      <c r="T23"/>
      <c r="U23" s="4"/>
      <c r="V23" s="4"/>
    </row>
    <row r="24" spans="2:27" ht="14.5">
      <c r="B24" s="19" t="s">
        <v>26</v>
      </c>
      <c r="C24" s="20">
        <v>507.69272925999996</v>
      </c>
      <c r="D24" s="20">
        <v>575.29594376</v>
      </c>
      <c r="E24" s="20">
        <v>636.62074794</v>
      </c>
      <c r="F24" s="20">
        <v>696.69174770999996</v>
      </c>
      <c r="G24" s="20">
        <v>752.96717965000005</v>
      </c>
      <c r="H24" s="20">
        <v>807.63774974</v>
      </c>
      <c r="I24"/>
      <c r="J24"/>
      <c r="K24"/>
      <c r="L24"/>
      <c r="M24"/>
      <c r="N24"/>
      <c r="O24"/>
      <c r="P24"/>
      <c r="Q24"/>
      <c r="R24"/>
      <c r="S24"/>
      <c r="T24"/>
      <c r="U24"/>
      <c r="V24"/>
      <c r="W24"/>
      <c r="X24"/>
      <c r="Y24"/>
      <c r="Z24"/>
      <c r="AA24"/>
    </row>
    <row r="25" spans="2:27" ht="14.5">
      <c r="B25"/>
      <c r="C25"/>
      <c r="D25"/>
      <c r="E25"/>
      <c r="F25"/>
      <c r="G25"/>
      <c r="H25"/>
      <c r="I25"/>
      <c r="J25"/>
      <c r="K25"/>
      <c r="L25"/>
      <c r="M25"/>
      <c r="N25"/>
      <c r="O25"/>
      <c r="P25"/>
      <c r="Q25"/>
      <c r="R25"/>
      <c r="S25"/>
      <c r="T25"/>
      <c r="U25"/>
      <c r="V25"/>
      <c r="W25"/>
      <c r="X25"/>
      <c r="Y25"/>
      <c r="Z25"/>
      <c r="AA25"/>
    </row>
    <row r="26" spans="2:27" ht="14.5">
      <c r="B26"/>
      <c r="C26"/>
      <c r="D26" s="22"/>
      <c r="E26" s="22"/>
      <c r="F26" s="22"/>
      <c r="G26" s="22"/>
      <c r="H26" s="22"/>
      <c r="I26"/>
      <c r="J26"/>
      <c r="K26"/>
      <c r="L26"/>
      <c r="M26"/>
      <c r="N26"/>
      <c r="O26"/>
      <c r="P26"/>
      <c r="Q26"/>
      <c r="R26"/>
      <c r="S26"/>
      <c r="T26"/>
      <c r="U26"/>
      <c r="V26"/>
      <c r="W26"/>
      <c r="X26"/>
      <c r="Y26"/>
      <c r="Z26"/>
      <c r="AA26"/>
    </row>
    <row r="27" spans="2:27" ht="14.5">
      <c r="B27"/>
      <c r="C27"/>
      <c r="D27"/>
      <c r="E27"/>
      <c r="F27"/>
      <c r="G27"/>
      <c r="H27"/>
      <c r="I27"/>
      <c r="J27"/>
      <c r="K27"/>
      <c r="L27"/>
      <c r="M27"/>
      <c r="N27"/>
      <c r="O27"/>
      <c r="P27"/>
      <c r="Q27"/>
      <c r="R27"/>
      <c r="S27"/>
      <c r="T27"/>
      <c r="U27"/>
      <c r="V27"/>
      <c r="W27"/>
      <c r="X27"/>
      <c r="Y27"/>
      <c r="Z27"/>
      <c r="AA27"/>
    </row>
    <row r="28" spans="2:27" ht="14.5">
      <c r="B28"/>
      <c r="C28"/>
      <c r="D28"/>
      <c r="E28"/>
      <c r="F28"/>
      <c r="G28"/>
      <c r="H28"/>
      <c r="I28"/>
      <c r="J28"/>
      <c r="K28"/>
      <c r="L28"/>
      <c r="M28"/>
      <c r="N28"/>
      <c r="O28"/>
      <c r="P28"/>
      <c r="Q28"/>
      <c r="R28"/>
      <c r="S28"/>
      <c r="T28"/>
      <c r="U28"/>
      <c r="V28"/>
      <c r="W28"/>
      <c r="X28"/>
      <c r="Y28"/>
      <c r="Z28"/>
      <c r="AA28"/>
    </row>
    <row r="29" spans="2:27" ht="14.5">
      <c r="B29"/>
      <c r="C29"/>
      <c r="D29"/>
      <c r="E29"/>
      <c r="F29"/>
      <c r="G29"/>
      <c r="H29"/>
      <c r="I29"/>
      <c r="J29"/>
      <c r="K29"/>
      <c r="L29"/>
      <c r="M29"/>
      <c r="N29"/>
      <c r="O29"/>
      <c r="P29"/>
      <c r="Q29"/>
      <c r="R29"/>
      <c r="S29"/>
      <c r="T29"/>
      <c r="U29"/>
      <c r="V29"/>
      <c r="W29"/>
      <c r="X29"/>
      <c r="Y29"/>
      <c r="Z29"/>
      <c r="AA29"/>
    </row>
    <row r="30" spans="2:27" ht="14.5">
      <c r="B30"/>
      <c r="C30"/>
      <c r="D30"/>
      <c r="E30"/>
      <c r="F30"/>
      <c r="G30"/>
      <c r="H30"/>
      <c r="I30"/>
      <c r="J30"/>
      <c r="K30"/>
      <c r="L30"/>
      <c r="M30"/>
      <c r="N30"/>
      <c r="O30"/>
      <c r="P30"/>
      <c r="Q30"/>
      <c r="R30"/>
      <c r="S30"/>
      <c r="T30"/>
      <c r="U30"/>
      <c r="V30"/>
      <c r="W30"/>
      <c r="X30"/>
      <c r="Y30"/>
      <c r="Z30"/>
      <c r="AA30"/>
    </row>
    <row r="31" spans="2:27" ht="14.5">
      <c r="B31"/>
      <c r="C31"/>
      <c r="D31"/>
      <c r="E31"/>
      <c r="F31"/>
      <c r="G31"/>
      <c r="H31"/>
      <c r="I31"/>
      <c r="J31"/>
      <c r="K31"/>
      <c r="L31"/>
      <c r="M31"/>
      <c r="N31"/>
      <c r="O31"/>
      <c r="P31"/>
      <c r="Q31"/>
      <c r="R31"/>
      <c r="S31"/>
      <c r="T31"/>
      <c r="U31"/>
      <c r="V31"/>
      <c r="W31"/>
      <c r="X31"/>
      <c r="Y31"/>
      <c r="Z31"/>
      <c r="AA31"/>
    </row>
    <row r="32" spans="2:27" ht="14.5">
      <c r="B32"/>
      <c r="C32"/>
      <c r="D32"/>
      <c r="E32"/>
      <c r="F32"/>
      <c r="G32"/>
      <c r="H32"/>
      <c r="I32"/>
      <c r="J32"/>
      <c r="K32"/>
      <c r="L32"/>
      <c r="M32"/>
      <c r="N32"/>
      <c r="O32"/>
      <c r="P32"/>
      <c r="Q32"/>
      <c r="R32"/>
      <c r="S32"/>
      <c r="T32"/>
      <c r="U32"/>
      <c r="V32"/>
      <c r="W32"/>
      <c r="X32"/>
      <c r="Y32"/>
      <c r="Z32"/>
      <c r="AA32"/>
    </row>
    <row r="33" spans="2:27" ht="14.5">
      <c r="B33"/>
      <c r="C33"/>
      <c r="D33"/>
      <c r="E33"/>
      <c r="F33"/>
      <c r="G33"/>
      <c r="H33"/>
      <c r="I33"/>
      <c r="J33"/>
      <c r="K33"/>
      <c r="L33"/>
      <c r="M33"/>
      <c r="N33"/>
      <c r="O33"/>
      <c r="P33"/>
      <c r="Q33"/>
      <c r="R33"/>
      <c r="S33"/>
      <c r="T33"/>
      <c r="U33"/>
      <c r="V33"/>
      <c r="W33"/>
      <c r="X33"/>
      <c r="Y33"/>
      <c r="Z33"/>
      <c r="AA33"/>
    </row>
    <row r="34" spans="2:27" ht="14.5">
      <c r="B34"/>
      <c r="C34"/>
      <c r="D34"/>
      <c r="E34"/>
      <c r="F34"/>
      <c r="G34"/>
      <c r="H34"/>
      <c r="I34"/>
      <c r="J34"/>
      <c r="K34"/>
      <c r="L34"/>
      <c r="M34"/>
      <c r="N34"/>
      <c r="O34"/>
      <c r="P34"/>
      <c r="Q34"/>
      <c r="R34"/>
      <c r="S34"/>
      <c r="T34"/>
      <c r="U34"/>
      <c r="V34"/>
      <c r="W34"/>
      <c r="X34"/>
      <c r="Y34"/>
      <c r="Z34"/>
      <c r="AA34"/>
    </row>
    <row r="35" spans="2:27" ht="14.5">
      <c r="B35"/>
      <c r="C35"/>
      <c r="D35"/>
      <c r="E35"/>
      <c r="F35"/>
      <c r="G35"/>
      <c r="H35"/>
      <c r="I35"/>
      <c r="J35"/>
      <c r="K35"/>
      <c r="L35"/>
      <c r="M35"/>
      <c r="N35"/>
      <c r="O35"/>
      <c r="P35"/>
      <c r="Q35"/>
      <c r="R35"/>
      <c r="S35"/>
      <c r="T35"/>
      <c r="U35"/>
      <c r="V35"/>
      <c r="W35"/>
      <c r="X35"/>
      <c r="Y35"/>
      <c r="Z35"/>
      <c r="AA35"/>
    </row>
    <row r="36" spans="2:27" ht="14.5">
      <c r="B36"/>
      <c r="C36"/>
      <c r="D36"/>
      <c r="E36"/>
      <c r="F36"/>
      <c r="G36"/>
      <c r="H36"/>
      <c r="I36"/>
      <c r="J36"/>
      <c r="K36"/>
      <c r="L36"/>
      <c r="M36"/>
      <c r="N36"/>
      <c r="O36"/>
      <c r="P36"/>
      <c r="Q36"/>
      <c r="R36"/>
      <c r="S36"/>
      <c r="T36"/>
      <c r="U36"/>
      <c r="V36"/>
      <c r="W36"/>
      <c r="X36"/>
      <c r="Y36"/>
      <c r="Z36"/>
      <c r="AA36"/>
    </row>
    <row r="37" spans="2:27" ht="14.5">
      <c r="B37"/>
      <c r="C37"/>
      <c r="D37"/>
      <c r="E37"/>
      <c r="F37"/>
      <c r="G37"/>
      <c r="H37"/>
      <c r="I37"/>
      <c r="J37"/>
      <c r="K37"/>
      <c r="L37"/>
      <c r="M37"/>
      <c r="N37"/>
      <c r="O37"/>
      <c r="P37"/>
      <c r="Q37"/>
      <c r="R37"/>
      <c r="S37"/>
      <c r="T37"/>
      <c r="U37"/>
      <c r="V37"/>
      <c r="W37"/>
      <c r="X37"/>
      <c r="Y37"/>
      <c r="Z37"/>
      <c r="AA37"/>
    </row>
    <row r="38" spans="2:27" ht="14.5">
      <c r="B38"/>
      <c r="C38"/>
      <c r="D38"/>
      <c r="E38"/>
      <c r="F38"/>
      <c r="G38"/>
      <c r="H38"/>
      <c r="I38"/>
      <c r="J38"/>
      <c r="K38"/>
      <c r="L38"/>
      <c r="M38"/>
      <c r="N38"/>
      <c r="O38"/>
      <c r="P38"/>
      <c r="Q38"/>
      <c r="R38"/>
      <c r="S38"/>
      <c r="T38"/>
      <c r="U38"/>
      <c r="V38"/>
      <c r="W38"/>
      <c r="X38"/>
      <c r="Y38"/>
      <c r="Z38"/>
      <c r="AA38"/>
    </row>
    <row r="39" spans="2:27" ht="14.5">
      <c r="B39"/>
      <c r="C39"/>
      <c r="D39"/>
      <c r="E39"/>
      <c r="F39"/>
      <c r="G39"/>
      <c r="H39"/>
      <c r="I39"/>
      <c r="J39"/>
      <c r="K39"/>
      <c r="L39"/>
      <c r="M39"/>
      <c r="N39"/>
      <c r="O39"/>
      <c r="P39"/>
      <c r="Q39"/>
      <c r="R39"/>
      <c r="S39"/>
      <c r="T39"/>
      <c r="U39"/>
      <c r="V39"/>
      <c r="W39"/>
      <c r="X39"/>
      <c r="Y39"/>
      <c r="Z39"/>
      <c r="AA39"/>
    </row>
    <row r="40" spans="2:27" ht="14.5">
      <c r="B40"/>
      <c r="C40"/>
      <c r="D40"/>
      <c r="E40"/>
      <c r="F40"/>
      <c r="G40"/>
      <c r="H40"/>
      <c r="I40"/>
      <c r="J40"/>
      <c r="K40"/>
      <c r="L40"/>
      <c r="M40"/>
      <c r="N40"/>
      <c r="O40"/>
      <c r="P40"/>
      <c r="Q40"/>
      <c r="R40"/>
      <c r="S40"/>
      <c r="T40"/>
      <c r="U40"/>
      <c r="V40"/>
      <c r="W40"/>
      <c r="X40"/>
      <c r="Y40"/>
      <c r="Z40"/>
      <c r="AA40"/>
    </row>
    <row r="41" spans="2:27" ht="14.5">
      <c r="B41"/>
      <c r="C41"/>
      <c r="D41"/>
      <c r="E41"/>
      <c r="F41"/>
      <c r="G41"/>
      <c r="H41"/>
      <c r="I41"/>
      <c r="J41"/>
      <c r="K41"/>
      <c r="L41"/>
      <c r="M41"/>
      <c r="N41"/>
      <c r="O41"/>
      <c r="P41"/>
      <c r="Q41"/>
      <c r="R41"/>
      <c r="S41"/>
      <c r="T41"/>
      <c r="U41"/>
      <c r="V41"/>
      <c r="W41"/>
      <c r="X41"/>
      <c r="Y41"/>
      <c r="Z41"/>
      <c r="AA41"/>
    </row>
    <row r="42" spans="2:27" ht="14.5">
      <c r="B42"/>
      <c r="C42"/>
      <c r="D42"/>
      <c r="E42"/>
      <c r="F42"/>
      <c r="G42"/>
      <c r="H42"/>
      <c r="I42"/>
      <c r="J42"/>
      <c r="K42"/>
      <c r="L42"/>
      <c r="M42"/>
      <c r="N42"/>
      <c r="O42"/>
      <c r="P42"/>
      <c r="Q42"/>
      <c r="R42"/>
      <c r="S42"/>
      <c r="T42"/>
      <c r="U42"/>
      <c r="V42"/>
      <c r="W42"/>
      <c r="X42"/>
      <c r="Y42"/>
      <c r="Z42"/>
      <c r="AA42"/>
    </row>
    <row r="43" spans="2:27" ht="14.5">
      <c r="B43"/>
      <c r="C43"/>
      <c r="D43"/>
      <c r="E43"/>
      <c r="F43"/>
      <c r="G43"/>
      <c r="H43"/>
      <c r="I43"/>
      <c r="J43"/>
      <c r="K43"/>
      <c r="L43"/>
      <c r="M43"/>
      <c r="N43"/>
      <c r="O43"/>
      <c r="P43"/>
      <c r="Q43"/>
      <c r="R43"/>
      <c r="S43"/>
      <c r="T43"/>
      <c r="U43"/>
      <c r="V43"/>
      <c r="W43"/>
      <c r="X43"/>
      <c r="Y43"/>
      <c r="Z43"/>
      <c r="AA43"/>
    </row>
    <row r="44" spans="2:27" ht="14.5">
      <c r="B44"/>
      <c r="C44"/>
      <c r="D44"/>
      <c r="E44"/>
      <c r="F44"/>
      <c r="G44"/>
      <c r="H44"/>
      <c r="I44"/>
      <c r="J44"/>
      <c r="K44"/>
      <c r="L44"/>
      <c r="M44"/>
      <c r="N44"/>
      <c r="O44"/>
      <c r="P44"/>
      <c r="Q44"/>
      <c r="R44"/>
      <c r="S44"/>
      <c r="T44"/>
      <c r="U44"/>
      <c r="V44"/>
      <c r="W44"/>
      <c r="X44"/>
      <c r="Y44"/>
      <c r="Z44"/>
      <c r="AA44"/>
    </row>
    <row r="45" spans="2:27" ht="14.5">
      <c r="B45"/>
      <c r="C45"/>
      <c r="D45"/>
      <c r="E45"/>
      <c r="F45"/>
      <c r="G45"/>
      <c r="H45"/>
      <c r="I45"/>
      <c r="J45"/>
      <c r="K45"/>
      <c r="L45"/>
      <c r="M45"/>
      <c r="N45"/>
      <c r="O45"/>
      <c r="P45"/>
      <c r="Q45"/>
      <c r="R45"/>
      <c r="S45"/>
      <c r="T45"/>
      <c r="U45"/>
      <c r="V45"/>
      <c r="W45"/>
      <c r="X45"/>
      <c r="Y45"/>
      <c r="Z45"/>
      <c r="AA45"/>
    </row>
    <row r="46" spans="2:27" ht="14.5">
      <c r="B46"/>
      <c r="C46"/>
      <c r="D46"/>
      <c r="E46"/>
      <c r="F46"/>
      <c r="G46"/>
      <c r="H46"/>
      <c r="I46"/>
      <c r="J46"/>
      <c r="K46"/>
      <c r="L46"/>
      <c r="M46"/>
      <c r="N46"/>
      <c r="O46"/>
      <c r="P46"/>
      <c r="Q46"/>
      <c r="R46"/>
      <c r="S46"/>
      <c r="T46"/>
      <c r="U46"/>
      <c r="V46"/>
      <c r="W46"/>
      <c r="X46"/>
      <c r="Y46"/>
      <c r="Z46"/>
      <c r="AA46"/>
    </row>
    <row r="47" spans="2:27" ht="14.5">
      <c r="B47"/>
      <c r="C47"/>
      <c r="D47"/>
      <c r="E47"/>
      <c r="F47"/>
      <c r="G47"/>
      <c r="H47"/>
      <c r="I47"/>
      <c r="J47"/>
      <c r="K47"/>
      <c r="L47"/>
      <c r="M47"/>
      <c r="N47"/>
      <c r="O47"/>
      <c r="P47"/>
      <c r="Q47"/>
      <c r="R47"/>
      <c r="S47"/>
      <c r="T47"/>
      <c r="U47"/>
      <c r="V47"/>
      <c r="W47"/>
      <c r="X47"/>
      <c r="Y47"/>
      <c r="Z47"/>
    </row>
    <row r="48" spans="2:27" ht="14.5">
      <c r="B48"/>
      <c r="C48"/>
      <c r="D48"/>
      <c r="E48"/>
      <c r="F48"/>
      <c r="G48"/>
      <c r="H48"/>
      <c r="I48"/>
      <c r="J48"/>
      <c r="K48"/>
      <c r="L48"/>
      <c r="M48"/>
      <c r="N48"/>
      <c r="O48"/>
      <c r="P48"/>
      <c r="Q48"/>
      <c r="R48"/>
      <c r="S48"/>
      <c r="T48"/>
      <c r="U48"/>
      <c r="V48"/>
      <c r="W48"/>
      <c r="X48"/>
      <c r="Y48"/>
      <c r="Z48"/>
    </row>
    <row r="49" spans="2:26" ht="14.5">
      <c r="B49"/>
      <c r="C49"/>
      <c r="D49"/>
      <c r="E49"/>
      <c r="F49"/>
      <c r="G49"/>
      <c r="H49"/>
      <c r="I49"/>
      <c r="J49"/>
      <c r="K49"/>
      <c r="L49"/>
      <c r="M49"/>
      <c r="N49"/>
      <c r="O49"/>
      <c r="P49"/>
      <c r="Q49"/>
      <c r="R49"/>
      <c r="S49"/>
      <c r="T49"/>
      <c r="U49"/>
      <c r="V49"/>
      <c r="W49"/>
      <c r="X49"/>
      <c r="Y49"/>
      <c r="Z49"/>
    </row>
    <row r="50" spans="2:26" ht="14.5">
      <c r="B50"/>
      <c r="C50"/>
      <c r="D50"/>
      <c r="E50"/>
      <c r="F50"/>
      <c r="G50"/>
      <c r="H50"/>
      <c r="I50"/>
      <c r="J50"/>
      <c r="K50"/>
      <c r="L50"/>
      <c r="M50"/>
      <c r="N50"/>
      <c r="O50"/>
      <c r="P50"/>
      <c r="Q50"/>
      <c r="R50"/>
      <c r="S50"/>
      <c r="T50"/>
      <c r="U50"/>
      <c r="V50"/>
      <c r="W50"/>
      <c r="X50"/>
      <c r="Y50"/>
      <c r="Z50"/>
    </row>
    <row r="51" spans="2:26" ht="14.5">
      <c r="B51"/>
      <c r="C51"/>
      <c r="D51"/>
      <c r="E51"/>
      <c r="F51"/>
      <c r="G51"/>
      <c r="H51"/>
      <c r="I51"/>
      <c r="J51"/>
      <c r="K51"/>
      <c r="L51"/>
      <c r="M51"/>
      <c r="N51"/>
      <c r="O51"/>
      <c r="P51"/>
      <c r="Q51"/>
      <c r="R51"/>
      <c r="S51"/>
      <c r="T51"/>
      <c r="U51"/>
      <c r="V51"/>
      <c r="W51"/>
      <c r="X51"/>
      <c r="Y51"/>
      <c r="Z51"/>
    </row>
    <row r="52" spans="2:26" ht="14.5">
      <c r="B52"/>
      <c r="C52"/>
      <c r="D52"/>
      <c r="E52"/>
      <c r="F52"/>
      <c r="G52"/>
      <c r="H52"/>
      <c r="I52"/>
      <c r="J52"/>
      <c r="K52"/>
      <c r="L52"/>
      <c r="M52"/>
      <c r="N52"/>
      <c r="O52"/>
      <c r="P52"/>
      <c r="Q52"/>
      <c r="R52"/>
      <c r="S52"/>
      <c r="T52"/>
      <c r="U52"/>
      <c r="V52"/>
      <c r="W52"/>
      <c r="X52"/>
      <c r="Y52"/>
      <c r="Z52"/>
    </row>
    <row r="53" spans="2:26" ht="14.5">
      <c r="B53"/>
      <c r="C53"/>
      <c r="D53"/>
      <c r="E53"/>
      <c r="F53"/>
      <c r="G53"/>
      <c r="H53"/>
      <c r="I53"/>
      <c r="J53"/>
      <c r="K53"/>
      <c r="L53"/>
      <c r="M53"/>
      <c r="N53"/>
      <c r="O53"/>
      <c r="P53"/>
      <c r="Q53"/>
      <c r="R53"/>
      <c r="S53"/>
      <c r="T53"/>
      <c r="U53"/>
      <c r="V53"/>
      <c r="W53"/>
      <c r="X53"/>
      <c r="Y53"/>
      <c r="Z53"/>
    </row>
    <row r="54" spans="2:26" ht="14.5">
      <c r="B54"/>
      <c r="C54"/>
      <c r="D54"/>
      <c r="E54"/>
      <c r="F54"/>
      <c r="G54"/>
      <c r="H54"/>
      <c r="I54"/>
      <c r="J54"/>
      <c r="K54"/>
      <c r="L54"/>
      <c r="M54"/>
      <c r="N54"/>
      <c r="O54"/>
      <c r="P54"/>
      <c r="Q54"/>
      <c r="R54"/>
      <c r="S54"/>
      <c r="T54"/>
      <c r="U54"/>
      <c r="V54"/>
      <c r="W54"/>
      <c r="X54"/>
      <c r="Y54"/>
      <c r="Z54"/>
    </row>
    <row r="55" spans="2:26" ht="14.5">
      <c r="B55"/>
      <c r="C55"/>
      <c r="D55"/>
      <c r="E55"/>
      <c r="F55"/>
      <c r="G55"/>
      <c r="H55"/>
      <c r="I55"/>
      <c r="J55"/>
      <c r="K55"/>
      <c r="L55"/>
      <c r="M55"/>
      <c r="N55"/>
      <c r="O55"/>
      <c r="P55"/>
      <c r="Q55"/>
      <c r="R55"/>
      <c r="S55"/>
      <c r="T55"/>
      <c r="U55"/>
      <c r="V55"/>
      <c r="W55"/>
      <c r="X55"/>
      <c r="Y55"/>
      <c r="Z55"/>
    </row>
    <row r="56" spans="2:26" ht="14" customHeight="1">
      <c r="B56"/>
      <c r="C56"/>
      <c r="D56"/>
      <c r="E56"/>
      <c r="F56"/>
      <c r="G56"/>
      <c r="H56"/>
      <c r="I56"/>
      <c r="J56"/>
      <c r="K56"/>
      <c r="L56"/>
      <c r="M56"/>
      <c r="N56"/>
    </row>
    <row r="57" spans="2:26" ht="14" customHeight="1">
      <c r="B57"/>
      <c r="C57"/>
      <c r="D57"/>
      <c r="E57"/>
      <c r="F57"/>
      <c r="G57"/>
      <c r="H57"/>
      <c r="I57"/>
      <c r="J57"/>
      <c r="K57"/>
      <c r="L57"/>
      <c r="M57"/>
      <c r="N57"/>
    </row>
    <row r="58" spans="2:26" ht="14" customHeight="1">
      <c r="B58"/>
      <c r="C58"/>
      <c r="D58"/>
      <c r="E58"/>
      <c r="F58"/>
      <c r="G58"/>
      <c r="H58"/>
      <c r="I58"/>
      <c r="J58"/>
      <c r="K58"/>
      <c r="L58"/>
      <c r="M58"/>
      <c r="N58"/>
    </row>
    <row r="59" spans="2:26" ht="14" customHeight="1">
      <c r="B59"/>
      <c r="C59"/>
      <c r="D59"/>
      <c r="E59"/>
      <c r="F59"/>
      <c r="G59"/>
      <c r="H59"/>
      <c r="I59"/>
      <c r="J59"/>
      <c r="K59"/>
      <c r="L59"/>
      <c r="M59"/>
      <c r="N59"/>
    </row>
    <row r="60" spans="2:26" ht="14" customHeight="1">
      <c r="B60"/>
      <c r="C60"/>
      <c r="D60"/>
      <c r="E60"/>
      <c r="F60"/>
      <c r="G60"/>
      <c r="H60"/>
      <c r="I60"/>
      <c r="J60"/>
      <c r="K60"/>
      <c r="L60"/>
      <c r="M60"/>
      <c r="N60"/>
    </row>
    <row r="61" spans="2:26" ht="14" customHeight="1">
      <c r="B61"/>
      <c r="C61"/>
      <c r="D61"/>
      <c r="E61"/>
      <c r="F61"/>
      <c r="G61"/>
      <c r="H61"/>
      <c r="I61"/>
      <c r="J61"/>
      <c r="K61"/>
      <c r="L61"/>
      <c r="M61"/>
      <c r="N61"/>
    </row>
    <row r="62" spans="2:26" ht="14" customHeight="1">
      <c r="B62"/>
      <c r="C62"/>
      <c r="D62"/>
      <c r="E62"/>
      <c r="F62"/>
      <c r="G62"/>
      <c r="H62"/>
      <c r="I62"/>
      <c r="J62"/>
      <c r="K62"/>
      <c r="L62"/>
      <c r="M62"/>
      <c r="N62"/>
    </row>
    <row r="63" spans="2:26" ht="14" customHeight="1">
      <c r="B63"/>
      <c r="C63"/>
      <c r="D63"/>
      <c r="E63"/>
      <c r="F63"/>
      <c r="G63"/>
      <c r="H63"/>
      <c r="I63"/>
      <c r="J63"/>
      <c r="K63"/>
      <c r="L63"/>
      <c r="M63"/>
      <c r="N63"/>
    </row>
    <row r="64" spans="2:26" ht="14" customHeight="1">
      <c r="B64"/>
      <c r="C64"/>
      <c r="D64"/>
      <c r="E64"/>
      <c r="F64"/>
      <c r="G64"/>
      <c r="H64"/>
      <c r="I64"/>
      <c r="J64"/>
      <c r="K64"/>
      <c r="L64"/>
      <c r="M64"/>
      <c r="N64"/>
    </row>
    <row r="65" spans="2:14" ht="14" customHeight="1">
      <c r="B65"/>
      <c r="C65"/>
      <c r="D65"/>
      <c r="E65"/>
      <c r="F65"/>
      <c r="G65"/>
      <c r="H65"/>
      <c r="I65"/>
      <c r="J65"/>
      <c r="K65"/>
      <c r="L65"/>
      <c r="M65"/>
      <c r="N65"/>
    </row>
    <row r="66" spans="2:14" ht="14" customHeight="1">
      <c r="B66"/>
      <c r="C66"/>
      <c r="D66"/>
      <c r="E66"/>
      <c r="F66"/>
      <c r="G66"/>
      <c r="H66"/>
      <c r="I66"/>
      <c r="J66"/>
      <c r="K66"/>
      <c r="L66"/>
      <c r="M66"/>
      <c r="N66"/>
    </row>
    <row r="67" spans="2:14" ht="14" customHeight="1">
      <c r="B67"/>
      <c r="C67"/>
      <c r="D67"/>
      <c r="E67"/>
      <c r="F67"/>
      <c r="G67"/>
      <c r="H67"/>
      <c r="I67"/>
      <c r="J67"/>
      <c r="K67"/>
      <c r="L67"/>
      <c r="M67"/>
      <c r="N67"/>
    </row>
    <row r="68" spans="2:14" ht="14" customHeight="1">
      <c r="B68"/>
      <c r="C68"/>
      <c r="D68"/>
      <c r="E68"/>
      <c r="F68"/>
      <c r="G68"/>
      <c r="H68"/>
      <c r="I68"/>
      <c r="J68"/>
      <c r="K68"/>
      <c r="L68"/>
      <c r="M68"/>
      <c r="N68"/>
    </row>
    <row r="69" spans="2:14" ht="14" customHeight="1">
      <c r="B69"/>
      <c r="C69"/>
      <c r="D69"/>
      <c r="E69"/>
      <c r="F69"/>
      <c r="G69"/>
      <c r="H69"/>
      <c r="I69"/>
      <c r="J69"/>
      <c r="K69"/>
      <c r="L69"/>
      <c r="M69"/>
      <c r="N69"/>
    </row>
    <row r="70" spans="2:14" ht="14" customHeight="1">
      <c r="B70"/>
      <c r="C70"/>
      <c r="D70"/>
      <c r="E70"/>
      <c r="F70"/>
      <c r="G70"/>
      <c r="H70"/>
      <c r="I70"/>
      <c r="J70"/>
      <c r="K70"/>
      <c r="L70"/>
      <c r="M70"/>
      <c r="N70"/>
    </row>
    <row r="71" spans="2:14" ht="14" customHeight="1">
      <c r="B71"/>
      <c r="C71"/>
      <c r="D71"/>
      <c r="E71"/>
      <c r="F71"/>
      <c r="G71"/>
      <c r="H71"/>
      <c r="I71"/>
      <c r="J71"/>
      <c r="K71"/>
      <c r="L71"/>
      <c r="M71"/>
      <c r="N71"/>
    </row>
    <row r="72" spans="2:14" ht="14" customHeight="1">
      <c r="B72"/>
      <c r="C72"/>
      <c r="D72"/>
      <c r="E72"/>
      <c r="F72"/>
      <c r="G72"/>
      <c r="H72"/>
      <c r="I72"/>
      <c r="J72"/>
      <c r="K72"/>
      <c r="L72"/>
      <c r="M72"/>
      <c r="N72"/>
    </row>
    <row r="73" spans="2:14" ht="14" customHeight="1">
      <c r="B73"/>
      <c r="C73"/>
      <c r="D73"/>
      <c r="E73"/>
      <c r="F73"/>
      <c r="G73"/>
      <c r="H73"/>
      <c r="I73"/>
      <c r="J73"/>
      <c r="K73"/>
      <c r="L73"/>
      <c r="M73"/>
      <c r="N73"/>
    </row>
    <row r="74" spans="2:14" ht="14" customHeight="1">
      <c r="B74"/>
      <c r="C74"/>
      <c r="D74"/>
      <c r="E74"/>
      <c r="F74"/>
      <c r="G74"/>
      <c r="H74"/>
      <c r="I74"/>
      <c r="J74"/>
      <c r="K74"/>
      <c r="L74"/>
      <c r="M74"/>
      <c r="N74"/>
    </row>
    <row r="75" spans="2:14" ht="14" customHeight="1">
      <c r="B75"/>
      <c r="C75"/>
      <c r="D75"/>
      <c r="E75"/>
      <c r="F75"/>
      <c r="G75"/>
      <c r="H75"/>
      <c r="I75"/>
      <c r="J75"/>
      <c r="K75"/>
      <c r="L75"/>
      <c r="M75"/>
      <c r="N75"/>
    </row>
    <row r="76" spans="2:14" ht="14" customHeight="1">
      <c r="B76"/>
      <c r="C76"/>
      <c r="D76"/>
      <c r="E76"/>
      <c r="F76"/>
      <c r="G76"/>
      <c r="H76"/>
      <c r="I76"/>
      <c r="J76"/>
      <c r="K76"/>
      <c r="L76"/>
      <c r="M76"/>
      <c r="N76"/>
    </row>
    <row r="77" spans="2:14" ht="14" customHeight="1">
      <c r="B77"/>
      <c r="C77"/>
      <c r="D77"/>
      <c r="E77"/>
      <c r="F77"/>
      <c r="G77"/>
      <c r="H77"/>
      <c r="I77"/>
      <c r="J77"/>
      <c r="K77"/>
      <c r="L77"/>
      <c r="M77"/>
      <c r="N77"/>
    </row>
    <row r="78" spans="2:14" ht="14" customHeight="1">
      <c r="B78"/>
      <c r="C78"/>
      <c r="D78"/>
      <c r="E78"/>
      <c r="F78"/>
      <c r="G78"/>
      <c r="H78"/>
      <c r="I78"/>
      <c r="J78"/>
      <c r="K78"/>
      <c r="L78"/>
      <c r="M78"/>
      <c r="N78"/>
    </row>
    <row r="79" spans="2:14" ht="14" customHeight="1">
      <c r="B79"/>
      <c r="C79"/>
      <c r="D79"/>
      <c r="E79"/>
      <c r="F79"/>
      <c r="G79"/>
      <c r="H79"/>
      <c r="I79"/>
      <c r="J79"/>
      <c r="K79"/>
      <c r="L79"/>
      <c r="M79"/>
      <c r="N79"/>
    </row>
    <row r="80" spans="2:14"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row>
    <row r="772" spans="2:14" ht="14" customHeight="1">
      <c r="B772"/>
      <c r="C772"/>
      <c r="D772"/>
    </row>
    <row r="773" spans="2:14" ht="14" customHeight="1">
      <c r="B773"/>
      <c r="C773"/>
      <c r="D773"/>
    </row>
    <row r="774" spans="2:14" ht="14" customHeight="1">
      <c r="B774"/>
      <c r="C774"/>
      <c r="D774"/>
    </row>
    <row r="775" spans="2:14" ht="14" customHeight="1">
      <c r="B775"/>
      <c r="C775"/>
      <c r="D775"/>
    </row>
    <row r="776" spans="2:14" ht="14" customHeight="1">
      <c r="B776"/>
      <c r="C776"/>
      <c r="D776"/>
    </row>
    <row r="777" spans="2:14" ht="14" customHeight="1">
      <c r="B777"/>
      <c r="C777"/>
      <c r="D777"/>
    </row>
    <row r="778" spans="2:14" ht="14" customHeight="1">
      <c r="B778"/>
      <c r="C778"/>
      <c r="D778"/>
    </row>
    <row r="779" spans="2:14" ht="14" customHeight="1">
      <c r="B779"/>
      <c r="C779"/>
      <c r="D779"/>
    </row>
    <row r="780" spans="2:14" ht="14" customHeight="1">
      <c r="B780"/>
      <c r="C780"/>
      <c r="D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49</v>
      </c>
      <c r="B1" s="1"/>
    </row>
    <row r="2" spans="1:2" ht="25.75" customHeight="1">
      <c r="A2" s="1" t="s">
        <v>50</v>
      </c>
    </row>
    <row r="3" spans="1:2" ht="25.75" customHeight="1">
      <c r="A3" s="1" t="s">
        <v>51</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Info</vt:lpstr>
      <vt:lpstr>Product</vt:lpstr>
      <vt:lpstr>DC Product</vt:lpstr>
      <vt:lpstr>Ethernet Optical Network</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Laura Chen</cp:lastModifiedBy>
  <dcterms:created xsi:type="dcterms:W3CDTF">2015-06-05T18:17:20Z</dcterms:created>
  <dcterms:modified xsi:type="dcterms:W3CDTF">2026-03-23T08:57:26Z</dcterms:modified>
</cp:coreProperties>
</file>