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wang\Desktop\work\LAN Tracker\2025Q4\Delivery\Delivery Forecast\"/>
    </mc:Choice>
  </mc:AlternateContent>
  <xr:revisionPtr revIDLastSave="0" documentId="13_ncr:1_{5FB22911-4205-43C3-89EA-DC576E3A63A0}" xr6:coauthVersionLast="47" xr6:coauthVersionMax="47" xr10:uidLastSave="{00000000-0000-0000-0000-000000000000}"/>
  <bookViews>
    <workbookView xWindow="28680" yWindow="-120" windowWidth="38640" windowHeight="21120" activeTab="2" xr2:uid="{00000000-000D-0000-FFFF-FFFF00000000}"/>
  </bookViews>
  <sheets>
    <sheet name="Cover" sheetId="2" r:id="rId1"/>
    <sheet name="Info" sheetId="14" r:id="rId2"/>
    <sheet name="Product"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<sst xmlns="http://schemas.openxmlformats.org/spreadsheetml/2006/main" count="57" uniqueCount="48">
  <si>
    <t>Year</t>
  </si>
  <si>
    <t>2022Q1</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</si>
  <si>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</si>
  <si>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</si>
  <si>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</si>
  <si>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</si>
  <si>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</si>
  <si>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</si>
  <si>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</si>
  <si>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</si>
  <si>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</si>
  <si>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</si>
  <si>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</si>
  <si>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</si>
  <si>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</si>
  <si>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</si>
  <si>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</si>
  <si>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</si>
  <si>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</si>
  <si>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</si>
  <si>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</si>
  <si>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</si>
  <si>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</si>
  <si>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</si>
  <si>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</si>
  <si>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</si>
  <si>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</si>
  <si>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</si>
  <si>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</si>
  <si>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Product</t>
  </si>
  <si>
    <t>Enterprise</t>
  </si>
  <si>
    <t>High-End</t>
  </si>
  <si>
    <t>Mid-Range</t>
  </si>
  <si>
    <t>Low-End</t>
  </si>
  <si>
    <t>SOHO</t>
  </si>
  <si>
    <t>Service Provider</t>
  </si>
  <si>
    <t>Enterprise Total</t>
  </si>
  <si>
    <t>Service Provider Total</t>
  </si>
  <si>
    <t>Publish Date</t>
  </si>
  <si>
    <t>Connectivity</t>
  </si>
  <si>
    <t>N/A</t>
  </si>
  <si>
    <t>Core</t>
  </si>
  <si>
    <t>Edge</t>
  </si>
  <si>
    <t>2025Q3</t>
  </si>
  <si>
    <t>Publication Date: March 24, 2026</t>
  </si>
  <si>
    <t>IDC China Quarterly Router Forecast, 2025Q4</t>
  </si>
  <si>
    <t>2025Q4 Final Forecast Data</t>
  </si>
  <si>
    <t>2025Q4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</si>
</sst>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22">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49810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5302" y="95249"/>
          <a:ext cx="13702626"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7257</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615950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7717" y="2219326"/>
          <a:ext cx="13723408" cy="1895475"/>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1">
                <a:effectLst/>
                <a:latin typeface="Open Sans" pitchFamily="2" charset="0"/>
                <a:ea typeface="Open Sans" pitchFamily="2" charset="0"/>
                <a:cs typeface="Open Sans" pitchFamily="2" charset="0"/>
              </a:rPr>
              <a:t>China</a:t>
            </a:r>
          </a:p>
          <a:p>
            <a:pPr rtl="0" eaLnBrk="1" fontAlgn="auto" latinLnBrk="0" hangingPunct="1"/>
            <a:endParaRPr lang="en-US" sz="1000" b="1">
              <a:effectLst/>
              <a:latin typeface="Open Sans" pitchFamily="2" charset="0"/>
              <a:ea typeface="Open Sans" pitchFamily="2" charset="0"/>
              <a:cs typeface="Open Sans" pitchFamily="2" charset="0"/>
            </a:endParaRPr>
          </a:p>
          <a:p>
            <a:pPr rtl="0" eaLnBrk="1" fontAlgn="auto" latinLnBrk="0" hangingPunct="1"/>
            <a:r>
              <a:rPr lang="en-US" sz="1000" b="1">
                <a:effectLst/>
                <a:latin typeface="Open Sans" pitchFamily="2" charset="0"/>
                <a:ea typeface="Open Sans" pitchFamily="2" charset="0"/>
                <a:cs typeface="Open Sans" pitchFamily="2" charset="0"/>
              </a:rPr>
              <a:t>Albert Wang</a:t>
            </a:r>
          </a:p>
          <a:p>
            <a:pPr rtl="0" eaLnBrk="1" fontAlgn="auto" latinLnBrk="0" hangingPunct="1"/>
            <a:r>
              <a:rPr lang="en-US" sz="1000" b="1">
                <a:effectLst/>
                <a:latin typeface="Open Sans" pitchFamily="2" charset="0"/>
                <a:ea typeface="Open Sans" pitchFamily="2" charset="0"/>
                <a:cs typeface="Open Sans" pitchFamily="2" charset="0"/>
              </a:rPr>
              <a:t>awang@idc.com </a:t>
            </a:r>
          </a:p>
          <a:p>
            <a:pPr rtl="0" eaLnBrk="1" fontAlgn="auto" latinLnBrk="0" hangingPunct="1"/>
            <a:r>
              <a:rPr lang="en-US" sz="1000" b="1">
                <a:effectLst/>
                <a:latin typeface="Open Sans" pitchFamily="2" charset="0"/>
                <a:ea typeface="Open Sans" pitchFamily="2" charset="0"/>
                <a:cs typeface="Open Sans" pitchFamily="2" charset="0"/>
              </a:rPr>
              <a:t>Research Manager</a:t>
            </a:r>
          </a:p>
          <a:p>
            <a:pPr rtl="0" eaLnBrk="1" fontAlgn="auto" latinLnBrk="0" hangingPunct="1"/>
            <a:endParaRPr lang="en-US" sz="1000" b="1">
              <a:effectLst/>
              <a:latin typeface="Open Sans" pitchFamily="2" charset="0"/>
              <a:ea typeface="Open Sans" pitchFamily="2" charset="0"/>
              <a:cs typeface="Open Sans" pitchFamily="2" charset="0"/>
            </a:endParaRPr>
          </a:p>
          <a:p>
            <a:pPr rtl="0" eaLnBrk="1" fontAlgn="auto" latinLnBrk="0" hangingPunct="1"/>
            <a:r>
              <a:rPr lang="en-US" sz="1000" b="1">
                <a:effectLst/>
                <a:latin typeface="Open Sans" pitchFamily="2" charset="0"/>
                <a:ea typeface="Open Sans" pitchFamily="2" charset="0"/>
                <a:cs typeface="Open Sans" pitchFamily="2" charset="0"/>
              </a:rPr>
              <a:t>Steven Hu</a:t>
            </a:r>
          </a:p>
          <a:p>
            <a:pPr rtl="0" eaLnBrk="1" fontAlgn="auto" latinLnBrk="0" hangingPunct="1"/>
            <a:r>
              <a:rPr lang="en-US" sz="1000" b="1">
                <a:effectLst/>
                <a:latin typeface="Open Sans" pitchFamily="2" charset="0"/>
                <a:ea typeface="Open Sans" pitchFamily="2" charset="0"/>
                <a:cs typeface="Open Sans" pitchFamily="2" charset="0"/>
              </a:rPr>
              <a:t>xhu@idc.com </a:t>
            </a:r>
          </a:p>
          <a:p>
            <a:pPr rtl="0" eaLnBrk="1" fontAlgn="auto" latinLnBrk="0" hangingPunct="1"/>
            <a:r>
              <a:rPr lang="en-US" sz="1000" b="1">
                <a:effectLst/>
                <a:latin typeface="Open Sans" pitchFamily="2" charset="0"/>
                <a:ea typeface="Open Sans" pitchFamily="2" charset="0"/>
                <a:cs typeface="Open Sans" pitchFamily="2" charset="0"/>
              </a:rPr>
              <a:t>Research Director</a:t>
            </a:r>
          </a:p>
          <a:p>
            <a:pPr rtl="0" eaLnBrk="1" fontAlgn="auto" latinLnBrk="0" hangingPunct="1"/>
            <a:endParaRPr lang="en-US" sz="1000" b="1">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1"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1"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1"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1"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1"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1"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573786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104.513521180554" createdVersion="8" refreshedVersion="8" minRefreshableVersion="3" recordCount="64" xr:uid="{37798327-6357-4CBF-AE0E-D3B4D26CDF24}">
  <cacheSource type="worksheet">
    <worksheetSource name="PDB"/>
  </cacheSource>
  <cacheFields count="12">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unt="1">
        <s v="Router"/>
      </sharedItems>
    </cacheField>
    <cacheField name="Deployment" numFmtId="0">
      <sharedItems count="2">
        <s v="Service Provider"/>
        <s v="Enterprise"/>
      </sharedItems>
    </cacheField>
    <cacheField name="Product" numFmtId="0">
      <sharedItems count="4">
        <s v="High-End"/>
        <s v="Mid-Range"/>
        <s v="Low-End"/>
        <s v="SOHO"/>
      </sharedItems>
    </cacheField>
    <cacheField name="Connectivity" numFmtId="0">
      <sharedItems count="3">
        <s v="Core"/>
        <s v="Edge"/>
        <s v="N/A"/>
      </sharedItems>
    </cacheField>
    <cacheField name="Units" numFmtId="0">
      <sharedItems containsSemiMixedTypes="0" containsString="0" containsNumber="1" containsInteger="1" minValue="9161" maxValue="612471"/>
    </cacheField>
    <cacheField name="Vendor Revenue (CNY M)" numFmtId="0">
      <sharedItems containsSemiMixedTypes="0" containsString="0" containsNumber="1" minValue="619.80796078000003" maxValue="11145.33590754"/>
    </cacheField>
    <cacheField name="Value (CNY M)" numFmtId="0">
      <sharedItems containsSemiMixedTypes="0" containsString="0" containsNumber="1" minValue="621.15806367999994" maxValue="11259.85373802"/>
    </cacheField>
    <cacheField name="Vendor Revenue (USD M)" numFmtId="0">
      <sharedItems containsSemiMixedTypes="0" containsString="0" containsNumber="1" minValue="86.730863470000003" maxValue="1575.8543682800005"/>
    </cacheField>
    <cacheField name="Value (USD M)" numFmtId="0">
      <sharedItems containsSemiMixedTypes="0" containsString="0" containsNumber="1" minValue="86.921529349999986" maxValue="1592.0828188400001"/>
    </cacheField>
    <cacheField name="Publish Date" numFmtId="0">
      <sharedItems count="3">
        <s v="2025Q4"/>
        <s v="2025Q3" u="1"/>
        <s v="2025Q2"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x v="0"/>
    <x v="0"/>
    <x v="0"/>
    <x v="0"/>
    <n v="41843"/>
    <n v="6665.9773901600011"/>
    <n v="6698.2750312500011"/>
    <n v="943.68443829"/>
    <n v="948.24854465999999"/>
    <x v="0"/>
  </r>
  <r>
    <x v="0"/>
    <x v="1"/>
    <x v="0"/>
    <x v="0"/>
    <x v="0"/>
    <x v="0"/>
    <n v="27590"/>
    <n v="5195.4760106200001"/>
    <n v="5223.4081288799998"/>
    <n v="722.67930889000002"/>
    <n v="726.56871797999997"/>
    <x v="0"/>
  </r>
  <r>
    <x v="0"/>
    <x v="0"/>
    <x v="0"/>
    <x v="0"/>
    <x v="0"/>
    <x v="1"/>
    <n v="67397"/>
    <n v="11145.33590754"/>
    <n v="11259.85373802"/>
    <n v="1575.8543682800005"/>
    <n v="1592.0828188400001"/>
    <x v="0"/>
  </r>
  <r>
    <x v="0"/>
    <x v="1"/>
    <x v="0"/>
    <x v="0"/>
    <x v="0"/>
    <x v="1"/>
    <n v="47508"/>
    <n v="8285.3365489799999"/>
    <n v="8392.8976141399999"/>
    <n v="1152.37744703"/>
    <n v="1167.33375559"/>
    <x v="0"/>
  </r>
  <r>
    <x v="0"/>
    <x v="0"/>
    <x v="0"/>
    <x v="0"/>
    <x v="1"/>
    <x v="1"/>
    <n v="15677"/>
    <n v="1221.7022677699999"/>
    <n v="1268.4132308700002"/>
    <n v="172.94084706999999"/>
    <n v="179.56125801999997"/>
    <x v="0"/>
  </r>
  <r>
    <x v="0"/>
    <x v="1"/>
    <x v="0"/>
    <x v="0"/>
    <x v="1"/>
    <x v="1"/>
    <n v="12704"/>
    <n v="1067.74222685"/>
    <n v="1118.1072431600001"/>
    <n v="148.47383737000001"/>
    <n v="155.47341453000001"/>
    <x v="0"/>
  </r>
  <r>
    <x v="0"/>
    <x v="0"/>
    <x v="0"/>
    <x v="0"/>
    <x v="2"/>
    <x v="1"/>
    <n v="41437"/>
    <n v="619.80796078000003"/>
    <n v="621.15806367999994"/>
    <n v="86.730863470000003"/>
    <n v="86.921529349999986"/>
    <x v="0"/>
  </r>
  <r>
    <x v="0"/>
    <x v="1"/>
    <x v="0"/>
    <x v="0"/>
    <x v="2"/>
    <x v="1"/>
    <n v="43161"/>
    <n v="978.37226552000004"/>
    <n v="979.69221228000004"/>
    <n v="136.08471030000001"/>
    <n v="136.2685381"/>
    <x v="0"/>
  </r>
  <r>
    <x v="0"/>
    <x v="0"/>
    <x v="0"/>
    <x v="1"/>
    <x v="0"/>
    <x v="2"/>
    <n v="10186"/>
    <n v="1615.45634526"/>
    <n v="1954.7021777799998"/>
    <n v="227.48264309000001"/>
    <n v="275.25399810000005"/>
    <x v="0"/>
  </r>
  <r>
    <x v="0"/>
    <x v="1"/>
    <x v="0"/>
    <x v="1"/>
    <x v="0"/>
    <x v="2"/>
    <n v="9635"/>
    <n v="1612.2609947399999"/>
    <n v="1950.8358036300001"/>
    <n v="224.07098149000001"/>
    <n v="271.1258876"/>
    <x v="0"/>
  </r>
  <r>
    <x v="0"/>
    <x v="0"/>
    <x v="0"/>
    <x v="1"/>
    <x v="1"/>
    <x v="2"/>
    <n v="15025"/>
    <n v="1004.5013486099998"/>
    <n v="1215.4466318099996"/>
    <n v="142.06838590000004"/>
    <n v="171.90274695000002"/>
    <x v="0"/>
  </r>
  <r>
    <x v="0"/>
    <x v="1"/>
    <x v="0"/>
    <x v="1"/>
    <x v="1"/>
    <x v="2"/>
    <n v="14778"/>
    <n v="997.43475209999997"/>
    <n v="1206.8960500400001"/>
    <n v="138.71821771"/>
    <n v="167.84904342999999"/>
    <x v="0"/>
  </r>
  <r>
    <x v="0"/>
    <x v="0"/>
    <x v="0"/>
    <x v="1"/>
    <x v="2"/>
    <x v="2"/>
    <n v="94435"/>
    <n v="1379.0555702599995"/>
    <n v="1668.6572399900001"/>
    <n v="193.86190998999999"/>
    <n v="234.57291106999998"/>
    <x v="0"/>
  </r>
  <r>
    <x v="0"/>
    <x v="1"/>
    <x v="0"/>
    <x v="1"/>
    <x v="2"/>
    <x v="2"/>
    <n v="92666"/>
    <n v="1220.96836186"/>
    <n v="1477.3717178500001"/>
    <n v="169.82787310000001"/>
    <n v="205.49172644999999"/>
    <x v="0"/>
  </r>
  <r>
    <x v="0"/>
    <x v="0"/>
    <x v="0"/>
    <x v="1"/>
    <x v="3"/>
    <x v="2"/>
    <n v="600080"/>
    <n v="1076.8706719000004"/>
    <n v="1303.0135130199994"/>
    <n v="152.13283876999998"/>
    <n v="184.08073494999994"/>
    <x v="0"/>
  </r>
  <r>
    <x v="0"/>
    <x v="1"/>
    <x v="0"/>
    <x v="1"/>
    <x v="3"/>
    <x v="2"/>
    <n v="565876"/>
    <n v="1027.18665457"/>
    <n v="1242.89585203"/>
    <n v="142.80160190999999"/>
    <n v="172.78993831"/>
    <x v="0"/>
  </r>
  <r>
    <x v="0"/>
    <x v="2"/>
    <x v="0"/>
    <x v="0"/>
    <x v="0"/>
    <x v="0"/>
    <n v="27313"/>
    <n v="5233.0789773899996"/>
    <n v="5254.5289576200003"/>
    <n v="728.43828790999999"/>
    <n v="731.41711471999997"/>
    <x v="0"/>
  </r>
  <r>
    <x v="0"/>
    <x v="3"/>
    <x v="0"/>
    <x v="0"/>
    <x v="0"/>
    <x v="0"/>
    <n v="29999"/>
    <n v="5039.4924723699996"/>
    <n v="5051.7437404100001"/>
    <n v="710.70057205000001"/>
    <n v="712.42832207000004"/>
    <x v="0"/>
  </r>
  <r>
    <x v="0"/>
    <x v="4"/>
    <x v="0"/>
    <x v="0"/>
    <x v="0"/>
    <x v="0"/>
    <n v="31651"/>
    <n v="5105.3994044700003"/>
    <n v="5117.8108956899996"/>
    <n v="719.99517752999998"/>
    <n v="721.74552322"/>
    <x v="0"/>
  </r>
  <r>
    <x v="0"/>
    <x v="5"/>
    <x v="0"/>
    <x v="0"/>
    <x v="0"/>
    <x v="0"/>
    <n v="36420"/>
    <n v="5354.8412308200004"/>
    <n v="5367.8591280700002"/>
    <n v="755.17301530999998"/>
    <n v="757.00888014999998"/>
    <x v="0"/>
  </r>
  <r>
    <x v="0"/>
    <x v="6"/>
    <x v="0"/>
    <x v="0"/>
    <x v="0"/>
    <x v="0"/>
    <n v="40086"/>
    <n v="5657.8936862600003"/>
    <n v="5671.6483197799998"/>
    <n v="797.91135743999996"/>
    <n v="799.85112141000002"/>
    <x v="0"/>
  </r>
  <r>
    <x v="0"/>
    <x v="7"/>
    <x v="0"/>
    <x v="0"/>
    <x v="0"/>
    <x v="0"/>
    <n v="44561"/>
    <n v="6043.4093656900004"/>
    <n v="6058.1012078599997"/>
    <n v="852.27917631000003"/>
    <n v="854.35111127000005"/>
    <x v="0"/>
  </r>
  <r>
    <x v="0"/>
    <x v="2"/>
    <x v="0"/>
    <x v="0"/>
    <x v="0"/>
    <x v="1"/>
    <n v="47439"/>
    <n v="8559.1674855099991"/>
    <n v="8666.6921096499991"/>
    <n v="1190.9488988400001"/>
    <n v="1205.8802513400001"/>
    <x v="0"/>
  </r>
  <r>
    <x v="0"/>
    <x v="3"/>
    <x v="0"/>
    <x v="0"/>
    <x v="0"/>
    <x v="1"/>
    <n v="54391"/>
    <n v="8220.0954061400007"/>
    <n v="8337.3033631500002"/>
    <n v="1159.2489798399999"/>
    <n v="1175.77837492"/>
    <x v="0"/>
  </r>
  <r>
    <x v="0"/>
    <x v="4"/>
    <x v="0"/>
    <x v="0"/>
    <x v="0"/>
    <x v="1"/>
    <n v="57387"/>
    <n v="8381.5163747299994"/>
    <n v="8501.0259865299995"/>
    <n v="1182.0135688"/>
    <n v="1198.86755756"/>
    <x v="0"/>
  </r>
  <r>
    <x v="0"/>
    <x v="5"/>
    <x v="0"/>
    <x v="0"/>
    <x v="0"/>
    <x v="1"/>
    <n v="59897"/>
    <n v="8615.6031206799998"/>
    <n v="8738.4505075199995"/>
    <n v="1215.0259376399999"/>
    <n v="1232.3506401899999"/>
    <x v="0"/>
  </r>
  <r>
    <x v="0"/>
    <x v="6"/>
    <x v="0"/>
    <x v="0"/>
    <x v="0"/>
    <x v="1"/>
    <n v="63339"/>
    <n v="8777.57938483"/>
    <n v="8902.7363442499991"/>
    <n v="1237.8688378300001"/>
    <n v="1255.5192506799999"/>
    <x v="0"/>
  </r>
  <r>
    <x v="0"/>
    <x v="7"/>
    <x v="0"/>
    <x v="0"/>
    <x v="0"/>
    <x v="1"/>
    <n v="67980"/>
    <n v="9067.7949237600005"/>
    <n v="9197.0899824099997"/>
    <n v="1278.7968381600001"/>
    <n v="1297.0308314900001"/>
    <x v="0"/>
  </r>
  <r>
    <x v="0"/>
    <x v="2"/>
    <x v="0"/>
    <x v="0"/>
    <x v="2"/>
    <x v="1"/>
    <n v="34214"/>
    <n v="880.80385887"/>
    <n v="882.89915036000002"/>
    <n v="122.48190704"/>
    <n v="122.77367902"/>
    <x v="0"/>
  </r>
  <r>
    <x v="0"/>
    <x v="3"/>
    <x v="0"/>
    <x v="0"/>
    <x v="2"/>
    <x v="1"/>
    <n v="38964"/>
    <n v="831.97757053999999"/>
    <n v="833.56420098000001"/>
    <n v="117.33065156000001"/>
    <n v="117.55440805000001"/>
    <x v="0"/>
  </r>
  <r>
    <x v="0"/>
    <x v="4"/>
    <x v="0"/>
    <x v="0"/>
    <x v="2"/>
    <x v="1"/>
    <n v="42382"/>
    <n v="882.00886728"/>
    <n v="883.69091035999998"/>
    <n v="124.3863762"/>
    <n v="124.62358838"/>
    <x v="0"/>
  </r>
  <r>
    <x v="0"/>
    <x v="5"/>
    <x v="0"/>
    <x v="0"/>
    <x v="2"/>
    <x v="1"/>
    <n v="46231"/>
    <n v="932.58282623000002"/>
    <n v="934.36131682999996"/>
    <n v="131.51863044000001"/>
    <n v="131.76944424999999"/>
    <x v="0"/>
  </r>
  <r>
    <x v="0"/>
    <x v="6"/>
    <x v="0"/>
    <x v="0"/>
    <x v="2"/>
    <x v="1"/>
    <n v="50217"/>
    <n v="981.91842993"/>
    <n v="983.79100645000005"/>
    <n v="138.47624411999999"/>
    <n v="138.74032650999999"/>
    <x v="0"/>
  </r>
  <r>
    <x v="0"/>
    <x v="7"/>
    <x v="0"/>
    <x v="0"/>
    <x v="2"/>
    <x v="1"/>
    <n v="46206"/>
    <n v="880.20166030999997"/>
    <n v="881.88025692999997"/>
    <n v="124.13151263"/>
    <n v="124.36823877"/>
    <x v="0"/>
  </r>
  <r>
    <x v="0"/>
    <x v="2"/>
    <x v="0"/>
    <x v="0"/>
    <x v="1"/>
    <x v="1"/>
    <n v="11858"/>
    <n v="930.71684266"/>
    <n v="954.63437911999995"/>
    <n v="129.48762199000001"/>
    <n v="132.80791056999999"/>
    <x v="0"/>
  </r>
  <r>
    <x v="0"/>
    <x v="3"/>
    <x v="0"/>
    <x v="0"/>
    <x v="1"/>
    <x v="1"/>
    <n v="14278"/>
    <n v="910.6804697"/>
    <n v="939.89690415999996"/>
    <n v="128.4298239"/>
    <n v="132.55010720000001"/>
    <x v="0"/>
  </r>
  <r>
    <x v="0"/>
    <x v="4"/>
    <x v="0"/>
    <x v="0"/>
    <x v="1"/>
    <x v="1"/>
    <n v="15145"/>
    <n v="932.01141104999999"/>
    <n v="961.91218438999999"/>
    <n v="131.43804592000001"/>
    <n v="135.65483895"/>
    <x v="0"/>
  </r>
  <r>
    <x v="0"/>
    <x v="5"/>
    <x v="0"/>
    <x v="0"/>
    <x v="1"/>
    <x v="1"/>
    <n v="16865"/>
    <n v="1020.98628906"/>
    <n v="1053.74155283"/>
    <n v="143.9858366"/>
    <n v="148.60518762999999"/>
    <x v="0"/>
  </r>
  <r>
    <x v="0"/>
    <x v="6"/>
    <x v="0"/>
    <x v="0"/>
    <x v="1"/>
    <x v="1"/>
    <n v="17494"/>
    <n v="1041.6839206100001"/>
    <n v="1075.10320544"/>
    <n v="146.90474534000001"/>
    <n v="151.61774073999999"/>
    <x v="0"/>
  </r>
  <r>
    <x v="0"/>
    <x v="7"/>
    <x v="0"/>
    <x v="0"/>
    <x v="1"/>
    <x v="1"/>
    <n v="16686"/>
    <n v="955.87001039999996"/>
    <n v="986.53621489"/>
    <n v="134.80273399000001"/>
    <n v="139.12747288"/>
    <x v="0"/>
  </r>
  <r>
    <x v="0"/>
    <x v="2"/>
    <x v="0"/>
    <x v="1"/>
    <x v="0"/>
    <x v="2"/>
    <n v="9161"/>
    <n v="1544.2773923699999"/>
    <n v="1868.5756447700001"/>
    <n v="215.06034375999999"/>
    <n v="260.22301594999999"/>
    <x v="0"/>
  </r>
  <r>
    <x v="0"/>
    <x v="3"/>
    <x v="0"/>
    <x v="1"/>
    <x v="0"/>
    <x v="2"/>
    <n v="9544"/>
    <n v="1636.20986636"/>
    <n v="1979.8139382899999"/>
    <n v="230.74849191999999"/>
    <n v="279.20567521999999"/>
    <x v="0"/>
  </r>
  <r>
    <x v="0"/>
    <x v="4"/>
    <x v="0"/>
    <x v="1"/>
    <x v="0"/>
    <x v="2"/>
    <n v="10371"/>
    <n v="1723.03000686"/>
    <n v="2084.8663082899998"/>
    <n v="242.99240811999999"/>
    <n v="294.02081382"/>
    <x v="0"/>
  </r>
  <r>
    <x v="0"/>
    <x v="5"/>
    <x v="0"/>
    <x v="1"/>
    <x v="0"/>
    <x v="2"/>
    <n v="11267"/>
    <n v="1814.1422047799999"/>
    <n v="2195.11206778"/>
    <n v="255.84161695"/>
    <n v="309.56835651"/>
    <x v="0"/>
  </r>
  <r>
    <x v="0"/>
    <x v="6"/>
    <x v="0"/>
    <x v="1"/>
    <x v="0"/>
    <x v="2"/>
    <n v="12619"/>
    <n v="1901.7196246399999"/>
    <n v="2301.0807458099998"/>
    <n v="268.19232939"/>
    <n v="324.51271856"/>
    <x v="0"/>
  </r>
  <r>
    <x v="0"/>
    <x v="7"/>
    <x v="0"/>
    <x v="1"/>
    <x v="0"/>
    <x v="2"/>
    <n v="14363"/>
    <n v="2043.1377289699999"/>
    <n v="2472.19665205"/>
    <n v="288.13599003000002"/>
    <n v="348.64454792999999"/>
    <x v="0"/>
  </r>
  <r>
    <x v="0"/>
    <x v="2"/>
    <x v="0"/>
    <x v="1"/>
    <x v="2"/>
    <x v="2"/>
    <n v="76829"/>
    <n v="1300.0167197000001"/>
    <n v="1573.0202308299999"/>
    <n v="181.12016338999999"/>
    <n v="219.15539770000001"/>
    <x v="0"/>
  </r>
  <r>
    <x v="0"/>
    <x v="3"/>
    <x v="0"/>
    <x v="1"/>
    <x v="2"/>
    <x v="2"/>
    <n v="80716"/>
    <n v="1425.2072671000001"/>
    <n v="1724.5007932000001"/>
    <n v="200.99159302000001"/>
    <n v="243.19982755000001"/>
    <x v="0"/>
  </r>
  <r>
    <x v="0"/>
    <x v="4"/>
    <x v="0"/>
    <x v="1"/>
    <x v="2"/>
    <x v="2"/>
    <n v="93007"/>
    <n v="1567.4783805"/>
    <n v="1896.6488403999999"/>
    <n v="221.05555029999999"/>
    <n v="267.47721586"/>
    <x v="0"/>
  </r>
  <r>
    <x v="0"/>
    <x v="5"/>
    <x v="0"/>
    <x v="1"/>
    <x v="2"/>
    <x v="2"/>
    <n v="101987"/>
    <n v="1657.6554100200001"/>
    <n v="2005.76304613"/>
    <n v="233.77287587000001"/>
    <n v="282.86517980000002"/>
    <x v="0"/>
  </r>
  <r>
    <x v="0"/>
    <x v="6"/>
    <x v="0"/>
    <x v="1"/>
    <x v="2"/>
    <x v="2"/>
    <n v="112404"/>
    <n v="1744.0608320900001"/>
    <n v="2110.31360683"/>
    <n v="245.95830588999999"/>
    <n v="297.60955013"/>
    <x v="0"/>
  </r>
  <r>
    <x v="0"/>
    <x v="7"/>
    <x v="0"/>
    <x v="1"/>
    <x v="2"/>
    <x v="2"/>
    <n v="130209"/>
    <n v="1928.11855517"/>
    <n v="2333.0234517499998"/>
    <n v="271.91527077000001"/>
    <n v="329.01747762999997"/>
    <x v="0"/>
  </r>
  <r>
    <x v="0"/>
    <x v="2"/>
    <x v="0"/>
    <x v="1"/>
    <x v="1"/>
    <x v="2"/>
    <n v="13936"/>
    <n v="896.64206963000004"/>
    <n v="1084.93690425"/>
    <n v="124.87425988"/>
    <n v="151.09785445"/>
    <x v="0"/>
  </r>
  <r>
    <x v="0"/>
    <x v="3"/>
    <x v="0"/>
    <x v="1"/>
    <x v="1"/>
    <x v="2"/>
    <n v="14144"/>
    <n v="939.51591218999999"/>
    <n v="1136.81425375"/>
    <n v="132.49637734000001"/>
    <n v="160.32061658999999"/>
    <x v="0"/>
  </r>
  <r>
    <x v="0"/>
    <x v="4"/>
    <x v="0"/>
    <x v="1"/>
    <x v="1"/>
    <x v="2"/>
    <n v="15439"/>
    <n v="983.75225811999996"/>
    <n v="1190.3402323299999"/>
    <n v="138.73486198000001"/>
    <n v="167.86918299999999"/>
    <x v="0"/>
  </r>
  <r>
    <x v="0"/>
    <x v="5"/>
    <x v="0"/>
    <x v="1"/>
    <x v="1"/>
    <x v="2"/>
    <n v="16910"/>
    <n v="1056.41925487"/>
    <n v="1278.26729839"/>
    <n v="148.98281381999999"/>
    <n v="180.26920472"/>
    <x v="0"/>
  </r>
  <r>
    <x v="0"/>
    <x v="6"/>
    <x v="0"/>
    <x v="1"/>
    <x v="1"/>
    <x v="2"/>
    <n v="18486"/>
    <n v="1103.57700333"/>
    <n v="1335.3281740299999"/>
    <n v="155.63329281"/>
    <n v="188.31628430000001"/>
    <x v="0"/>
  </r>
  <r>
    <x v="0"/>
    <x v="7"/>
    <x v="0"/>
    <x v="1"/>
    <x v="1"/>
    <x v="2"/>
    <n v="20638"/>
    <n v="1174.79484624"/>
    <n v="1421.5017639499999"/>
    <n v="165.67687595999999"/>
    <n v="200.46901991999999"/>
    <x v="0"/>
  </r>
  <r>
    <x v="0"/>
    <x v="2"/>
    <x v="0"/>
    <x v="1"/>
    <x v="3"/>
    <x v="2"/>
    <n v="479110"/>
    <n v="930.60778305999997"/>
    <n v="1126.0354175099999"/>
    <n v="129.61310116000001"/>
    <n v="156.8318524"/>
    <x v="0"/>
  </r>
  <r>
    <x v="0"/>
    <x v="3"/>
    <x v="0"/>
    <x v="1"/>
    <x v="3"/>
    <x v="2"/>
    <n v="452756"/>
    <n v="890.49460796000005"/>
    <n v="1077.49847563"/>
    <n v="125.58308812999999"/>
    <n v="151.95553663999999"/>
    <x v="0"/>
  </r>
  <r>
    <x v="0"/>
    <x v="4"/>
    <x v="0"/>
    <x v="1"/>
    <x v="3"/>
    <x v="2"/>
    <n v="466725"/>
    <n v="908.33634331999997"/>
    <n v="1099.08697542"/>
    <n v="128.09924061999999"/>
    <n v="155.00008115"/>
    <x v="0"/>
  </r>
  <r>
    <x v="0"/>
    <x v="5"/>
    <x v="0"/>
    <x v="1"/>
    <x v="3"/>
    <x v="2"/>
    <n v="494994"/>
    <n v="933.72204178000004"/>
    <n v="1129.80367056"/>
    <n v="131.6792897"/>
    <n v="159.33194054000001"/>
    <x v="0"/>
  </r>
  <r>
    <x v="0"/>
    <x v="6"/>
    <x v="0"/>
    <x v="1"/>
    <x v="3"/>
    <x v="2"/>
    <n v="568074"/>
    <n v="962.12375167000005"/>
    <n v="1164.1697395199999"/>
    <n v="135.68467548000001"/>
    <n v="164.17845732999999"/>
    <x v="0"/>
  </r>
  <r>
    <x v="0"/>
    <x v="7"/>
    <x v="0"/>
    <x v="1"/>
    <x v="3"/>
    <x v="2"/>
    <n v="612471"/>
    <n v="915.73993470000005"/>
    <n v="1108.04532098"/>
    <n v="129.14334112"/>
    <n v="156.2634427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AD5D44-46EA-4089-A6F9-A7DE84BE0AC7}" name="PivotTable4" cacheId="1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L34" firstHeaderRow="1" firstDataRow="2" firstDataCol="3" rowPageCount="3" colPageCount="1"/>
  <pivotFields count="12">
    <pivotField axis="axisPage" compact="0" outline="0" showAll="0" defaultSubtotal="0">
      <items count="1">
        <item x="0"/>
      </items>
    </pivotField>
    <pivotField axis="axisCol" compact="0" outline="0" multipleItemSelectionAllowed="1" showAll="0" sortType="ascending" defaultSubtotal="0">
      <items count="8">
        <item x="0"/>
        <item x="1"/>
        <item x="2"/>
        <item x="3"/>
        <item x="4"/>
        <item x="5"/>
        <item x="6"/>
        <item x="7"/>
      </items>
    </pivotField>
    <pivotField axis="axisPage" compact="0" outline="0" showAll="0" defaultSubtotal="0">
      <items count="1">
        <item x="0"/>
      </items>
    </pivotField>
    <pivotField axis="axisRow" compact="0" outline="0" subtotalTop="0" showAll="0">
      <items count="3">
        <item x="1"/>
        <item x="0"/>
        <item t="default"/>
      </items>
    </pivotField>
    <pivotField axis="axisRow" compact="0" outline="0" showAll="0" defaultSubtotal="0">
      <items count="4">
        <item x="0"/>
        <item x="1"/>
        <item x="2"/>
        <item x="3"/>
      </items>
    </pivotField>
    <pivotField axis="axisRow" compact="0" outline="0" subtotalTop="0" showAll="0" defaultSubtotal="0">
      <items count="3">
        <item x="0"/>
        <item x="1"/>
        <item x="2"/>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3">
        <item m="1" x="2"/>
        <item m="1" x="1"/>
        <item x="0"/>
      </items>
    </pivotField>
  </pivotFields>
  <rowFields count="3">
    <field x="3"/>
    <field x="4"/>
    <field x="5"/>
  </rowFields>
  <rowItems count="11">
    <i>
      <x/>
      <x/>
      <x v="2"/>
    </i>
    <i r="1">
      <x v="1"/>
      <x v="2"/>
    </i>
    <i r="1">
      <x v="2"/>
      <x v="2"/>
    </i>
    <i r="1">
      <x v="3"/>
      <x v="2"/>
    </i>
    <i t="default">
      <x/>
    </i>
    <i>
      <x v="1"/>
      <x/>
      <x/>
    </i>
    <i r="2">
      <x v="1"/>
    </i>
    <i r="1">
      <x v="1"/>
      <x v="1"/>
    </i>
    <i r="1">
      <x v="2"/>
      <x v="1"/>
    </i>
    <i t="default">
      <x v="1"/>
    </i>
    <i t="grand">
      <x/>
    </i>
  </rowItems>
  <colFields count="1">
    <field x="1"/>
  </colFields>
  <colItems count="8">
    <i>
      <x/>
    </i>
    <i>
      <x v="1"/>
    </i>
    <i>
      <x v="2"/>
    </i>
    <i>
      <x v="3"/>
    </i>
    <i>
      <x v="4"/>
    </i>
    <i>
      <x v="5"/>
    </i>
    <i>
      <x v="6"/>
    </i>
    <i>
      <x v="7"/>
    </i>
  </colItems>
  <pageFields count="3">
    <pageField fld="0" item="0" hier="-1"/>
    <pageField fld="2" item="0" hier="-1"/>
    <pageField fld="11" item="2" hier="-1"/>
  </pageFields>
  <dataFields count="1">
    <dataField name="Sum of Vendor Revenue (CNY M)" fld="7"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field="4" type="button" dataOnly="0" labelOnly="1" outline="0" axis="axisRow" fieldPosition="1"/>
    </format>
    <format dxfId="15">
      <pivotArea dataOnly="0" labelOnly="1" outline="0" fieldPosition="0">
        <references count="1">
          <reference field="4" count="0"/>
        </references>
      </pivotArea>
    </format>
    <format dxfId="14">
      <pivotArea dataOnly="0" labelOnly="1" grandRow="1" outline="0"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type="topRight" dataOnly="0" labelOnly="1" outline="0" fieldPosition="0"/>
    </format>
    <format dxfId="9">
      <pivotArea field="4" type="button" dataOnly="0" labelOnly="1" outline="0" axis="axisRow" fieldPosition="1"/>
    </format>
    <format dxfId="8">
      <pivotArea dataOnly="0" labelOnly="1" outline="0" fieldPosition="0">
        <references count="1">
          <reference field="4" count="0"/>
        </references>
      </pivotArea>
    </format>
    <format dxfId="7">
      <pivotArea dataOnly="0" labelOnly="1" grandRow="1" outline="0" fieldPosition="0"/>
    </format>
    <format dxfId="6">
      <pivotArea type="all" dataOnly="0" outline="0" fieldPosition="0"/>
    </format>
    <format dxfId="5">
      <pivotArea outline="0" collapsedLevelsAreSubtotals="1" fieldPosition="0"/>
    </format>
    <format dxfId="4">
      <pivotArea type="origin" dataOnly="0" labelOnly="1" outline="0" fieldPosition="0"/>
    </format>
    <format dxfId="3">
      <pivotArea type="topRight" dataOnly="0" labelOnly="1" outline="0" fieldPosition="0"/>
    </format>
    <format dxfId="2">
      <pivotArea field="4" type="button" dataOnly="0" labelOnly="1" outline="0" axis="axisRow" fieldPosition="1"/>
    </format>
    <format dxfId="1">
      <pivotArea dataOnly="0" labelOnly="1" outline="0" fieldPosition="0">
        <references count="1">
          <reference field="4" count="0"/>
        </references>
      </pivotArea>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topLeftCell="D1" zoomScale="90" zoomScaleNormal="90" workbookViewId="0">
      <selection activeCell="Y66" sqref="Y66"/>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10</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9</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1</v>
      </c>
      <c r="H43" s="13" t="s">
        <v>11</v>
      </c>
      <c r="I43" s="13" t="s">
        <v>12</v>
      </c>
      <c r="J43" s="13" t="s">
        <v>13</v>
      </c>
      <c r="K43" s="13" t="s">
        <v>14</v>
      </c>
      <c r="L43" s="13" t="s">
        <v>15</v>
      </c>
      <c r="M43" s="13" t="s">
        <v>16</v>
      </c>
      <c r="N43" s="13" t="s">
        <v>17</v>
      </c>
      <c r="O43" s="13" t="s">
        <v>18</v>
      </c>
      <c r="P43" s="13" t="s">
        <v>19</v>
      </c>
      <c r="Q43" s="13" t="s">
        <v>20</v>
      </c>
      <c r="R43" s="13" t="s">
        <v>21</v>
      </c>
      <c r="S43" s="13" t="s">
        <v>22</v>
      </c>
      <c r="T43" s="13" t="s">
        <v>23</v>
      </c>
      <c r="U43" s="13" t="s">
        <v>43</v>
      </c>
      <c r="V43" s="13" t="s">
        <v>47</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abSelected="1" zoomScaleNormal="100" workbookViewId="0">
      <selection activeCell="M27" sqref="M27"/>
    </sheetView>
  </sheetViews>
  <sheetFormatPr defaultColWidth="5.54296875" defaultRowHeight="14" customHeight="1"/>
  <cols>
    <col min="1" max="1" width="4.81640625" style="3" customWidth="1"/>
    <col min="2" max="2" width="28.90625" style="3" bestFit="1" customWidth="1"/>
    <col min="3" max="3" width="17.1796875" style="3" bestFit="1" customWidth="1"/>
    <col min="4" max="4" width="13.6328125" style="3" bestFit="1" customWidth="1"/>
    <col min="5" max="11" width="12.08984375" style="3" customWidth="1"/>
    <col min="12" max="12" width="10.45312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24</v>
      </c>
      <c r="C19" s="15" t="s">
        <v>25</v>
      </c>
      <c r="D19" s="15"/>
      <c r="E19" s="15"/>
      <c r="F19" s="15"/>
      <c r="G19" s="15"/>
      <c r="H19" s="15"/>
      <c r="I19" s="15"/>
      <c r="J19" s="16"/>
      <c r="K19" s="16"/>
      <c r="L19" s="16"/>
      <c r="M19" s="5"/>
      <c r="N19"/>
      <c r="O19"/>
    </row>
    <row r="20" spans="2:27" ht="18">
      <c r="B20" s="17" t="s">
        <v>38</v>
      </c>
      <c r="C20" s="15" t="s">
        <v>47</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27</v>
      </c>
      <c r="C22" s="15"/>
      <c r="D22" s="15"/>
      <c r="E22" s="17" t="s">
        <v>0</v>
      </c>
      <c r="F22" s="15"/>
      <c r="G22" s="15"/>
      <c r="H22" s="15"/>
      <c r="I22" s="15"/>
      <c r="J22" s="15"/>
      <c r="K22" s="15"/>
      <c r="L22" s="15"/>
      <c r="M22"/>
      <c r="N22" s="4"/>
      <c r="O22" s="4"/>
      <c r="P22" s="4"/>
      <c r="Q22"/>
      <c r="R22"/>
      <c r="S22"/>
      <c r="T22"/>
      <c r="U22" s="4"/>
      <c r="V22" s="4"/>
    </row>
    <row r="23" spans="2:27" ht="14.5">
      <c r="B23" s="17" t="s">
        <v>26</v>
      </c>
      <c r="C23" s="17" t="s">
        <v>29</v>
      </c>
      <c r="D23" s="17" t="s">
        <v>39</v>
      </c>
      <c r="E23" s="15">
        <v>2023</v>
      </c>
      <c r="F23" s="15">
        <v>2024</v>
      </c>
      <c r="G23" s="15">
        <v>2025</v>
      </c>
      <c r="H23" s="15">
        <v>2026</v>
      </c>
      <c r="I23" s="15">
        <v>2027</v>
      </c>
      <c r="J23" s="15">
        <v>2028</v>
      </c>
      <c r="K23" s="15">
        <v>2029</v>
      </c>
      <c r="L23" s="15">
        <v>2030</v>
      </c>
      <c r="M23"/>
      <c r="N23" s="4"/>
      <c r="O23" s="4"/>
      <c r="P23" s="4"/>
      <c r="Q23"/>
      <c r="R23"/>
      <c r="S23"/>
      <c r="T23"/>
      <c r="U23" s="4"/>
      <c r="V23" s="4"/>
    </row>
    <row r="24" spans="2:27" ht="14.5">
      <c r="B24" s="15" t="s">
        <v>30</v>
      </c>
      <c r="C24" s="15" t="s">
        <v>31</v>
      </c>
      <c r="D24" s="15" t="s">
        <v>40</v>
      </c>
      <c r="E24" s="18">
        <v>1615.45634526</v>
      </c>
      <c r="F24" s="18">
        <v>1612.2609947399999</v>
      </c>
      <c r="G24" s="18">
        <v>1544.2773923699999</v>
      </c>
      <c r="H24" s="18">
        <v>1636.20986636</v>
      </c>
      <c r="I24" s="18">
        <v>1723.03000686</v>
      </c>
      <c r="J24" s="18">
        <v>1814.1422047799999</v>
      </c>
      <c r="K24" s="18">
        <v>1901.7196246399999</v>
      </c>
      <c r="L24" s="18">
        <v>2043.1377289699999</v>
      </c>
      <c r="M24"/>
      <c r="N24"/>
      <c r="O24"/>
      <c r="P24"/>
      <c r="Q24"/>
      <c r="R24"/>
      <c r="S24"/>
      <c r="T24"/>
      <c r="U24"/>
      <c r="V24"/>
      <c r="W24"/>
      <c r="X24"/>
      <c r="Y24"/>
    </row>
    <row r="25" spans="2:27" ht="14.5">
      <c r="B25" s="15"/>
      <c r="C25" s="15" t="s">
        <v>32</v>
      </c>
      <c r="D25" s="15" t="s">
        <v>40</v>
      </c>
      <c r="E25" s="18">
        <v>1004.5013486099998</v>
      </c>
      <c r="F25" s="18">
        <v>997.43475209999997</v>
      </c>
      <c r="G25" s="18">
        <v>896.64206963000004</v>
      </c>
      <c r="H25" s="18">
        <v>939.51591218999999</v>
      </c>
      <c r="I25" s="18">
        <v>983.75225811999996</v>
      </c>
      <c r="J25" s="18">
        <v>1056.41925487</v>
      </c>
      <c r="K25" s="18">
        <v>1103.57700333</v>
      </c>
      <c r="L25" s="18">
        <v>1174.79484624</v>
      </c>
      <c r="M25"/>
      <c r="N25"/>
      <c r="O25"/>
      <c r="P25"/>
      <c r="Q25"/>
      <c r="R25"/>
      <c r="S25"/>
      <c r="T25"/>
      <c r="U25"/>
      <c r="V25"/>
      <c r="W25"/>
      <c r="X25"/>
      <c r="Y25"/>
    </row>
    <row r="26" spans="2:27" ht="14.5">
      <c r="B26" s="15"/>
      <c r="C26" s="15" t="s">
        <v>33</v>
      </c>
      <c r="D26" s="15" t="s">
        <v>40</v>
      </c>
      <c r="E26" s="18">
        <v>1379.0555702599995</v>
      </c>
      <c r="F26" s="18">
        <v>1220.96836186</v>
      </c>
      <c r="G26" s="18">
        <v>1300.0167197000001</v>
      </c>
      <c r="H26" s="18">
        <v>1425.2072671000001</v>
      </c>
      <c r="I26" s="18">
        <v>1567.4783805</v>
      </c>
      <c r="J26" s="18">
        <v>1657.6554100200001</v>
      </c>
      <c r="K26" s="18">
        <v>1744.0608320900001</v>
      </c>
      <c r="L26" s="18">
        <v>1928.11855517</v>
      </c>
      <c r="M26"/>
      <c r="N26"/>
      <c r="O26"/>
      <c r="P26"/>
      <c r="Q26"/>
      <c r="R26"/>
      <c r="S26"/>
      <c r="T26"/>
      <c r="U26"/>
      <c r="V26"/>
      <c r="W26"/>
      <c r="X26"/>
      <c r="Y26"/>
    </row>
    <row r="27" spans="2:27" ht="14.5">
      <c r="B27" s="15"/>
      <c r="C27" s="15" t="s">
        <v>34</v>
      </c>
      <c r="D27" s="15" t="s">
        <v>40</v>
      </c>
      <c r="E27" s="18">
        <v>1076.8706719000004</v>
      </c>
      <c r="F27" s="18">
        <v>1027.18665457</v>
      </c>
      <c r="G27" s="18">
        <v>930.60778305999997</v>
      </c>
      <c r="H27" s="18">
        <v>890.49460796000005</v>
      </c>
      <c r="I27" s="18">
        <v>908.33634331999997</v>
      </c>
      <c r="J27" s="18">
        <v>933.72204178000004</v>
      </c>
      <c r="K27" s="18">
        <v>962.12375167000005</v>
      </c>
      <c r="L27" s="18">
        <v>915.73993470000005</v>
      </c>
      <c r="M27"/>
      <c r="N27"/>
      <c r="O27"/>
      <c r="P27"/>
      <c r="Q27"/>
      <c r="R27"/>
      <c r="S27"/>
      <c r="T27"/>
      <c r="U27"/>
      <c r="V27"/>
      <c r="W27"/>
      <c r="X27"/>
      <c r="Y27"/>
      <c r="Z27"/>
      <c r="AA27"/>
    </row>
    <row r="28" spans="2:27" ht="14.5">
      <c r="B28" s="15" t="s">
        <v>36</v>
      </c>
      <c r="C28" s="15"/>
      <c r="D28" s="15"/>
      <c r="E28" s="18">
        <v>5075.8839360299999</v>
      </c>
      <c r="F28" s="18">
        <v>4857.8507632700002</v>
      </c>
      <c r="G28" s="18">
        <v>4671.5439647599997</v>
      </c>
      <c r="H28" s="18">
        <v>4891.4276536100006</v>
      </c>
      <c r="I28" s="18">
        <v>5182.5969888</v>
      </c>
      <c r="J28" s="18">
        <v>5461.93891145</v>
      </c>
      <c r="K28" s="18">
        <v>5711.4812117300007</v>
      </c>
      <c r="L28" s="18">
        <v>6061.7910650799995</v>
      </c>
      <c r="M28"/>
      <c r="N28"/>
      <c r="O28"/>
      <c r="P28"/>
      <c r="Q28"/>
      <c r="R28"/>
      <c r="S28"/>
      <c r="T28"/>
      <c r="U28"/>
      <c r="V28"/>
      <c r="W28"/>
      <c r="X28"/>
      <c r="Y28"/>
      <c r="Z28"/>
      <c r="AA28"/>
    </row>
    <row r="29" spans="2:27" ht="14.5">
      <c r="B29" s="15" t="s">
        <v>35</v>
      </c>
      <c r="C29" s="15" t="s">
        <v>31</v>
      </c>
      <c r="D29" s="15" t="s">
        <v>41</v>
      </c>
      <c r="E29" s="18">
        <v>6665.9773901600011</v>
      </c>
      <c r="F29" s="18">
        <v>5195.4760106200001</v>
      </c>
      <c r="G29" s="18">
        <v>5233.0789773899996</v>
      </c>
      <c r="H29" s="18">
        <v>5039.4924723699996</v>
      </c>
      <c r="I29" s="18">
        <v>5105.3994044700003</v>
      </c>
      <c r="J29" s="18">
        <v>5354.8412308200004</v>
      </c>
      <c r="K29" s="18">
        <v>5657.8936862600003</v>
      </c>
      <c r="L29" s="18">
        <v>6043.4093656900004</v>
      </c>
      <c r="M29"/>
      <c r="N29"/>
      <c r="O29"/>
      <c r="P29"/>
      <c r="Q29"/>
      <c r="R29"/>
      <c r="S29"/>
      <c r="T29"/>
      <c r="U29"/>
      <c r="V29"/>
      <c r="W29"/>
      <c r="X29"/>
      <c r="Y29"/>
      <c r="Z29"/>
      <c r="AA29"/>
    </row>
    <row r="30" spans="2:27" ht="14.5">
      <c r="B30" s="15"/>
      <c r="C30" s="15"/>
      <c r="D30" s="15" t="s">
        <v>42</v>
      </c>
      <c r="E30" s="18">
        <v>11145.33590754</v>
      </c>
      <c r="F30" s="18">
        <v>8285.3365489799999</v>
      </c>
      <c r="G30" s="18">
        <v>8559.1674855099991</v>
      </c>
      <c r="H30" s="18">
        <v>8220.0954061400007</v>
      </c>
      <c r="I30" s="18">
        <v>8381.5163747299994</v>
      </c>
      <c r="J30" s="18">
        <v>8615.6031206799998</v>
      </c>
      <c r="K30" s="18">
        <v>8777.57938483</v>
      </c>
      <c r="L30" s="18">
        <v>9067.7949237600005</v>
      </c>
      <c r="M30"/>
      <c r="N30"/>
      <c r="O30"/>
      <c r="P30"/>
      <c r="Q30"/>
      <c r="R30"/>
      <c r="S30"/>
      <c r="T30"/>
      <c r="U30"/>
      <c r="V30"/>
      <c r="W30"/>
      <c r="X30"/>
      <c r="Y30"/>
      <c r="Z30"/>
      <c r="AA30"/>
    </row>
    <row r="31" spans="2:27" ht="14.5">
      <c r="B31" s="15"/>
      <c r="C31" s="15" t="s">
        <v>32</v>
      </c>
      <c r="D31" s="15" t="s">
        <v>42</v>
      </c>
      <c r="E31" s="18">
        <v>1221.7022677699999</v>
      </c>
      <c r="F31" s="18">
        <v>1067.74222685</v>
      </c>
      <c r="G31" s="18">
        <v>930.71684266</v>
      </c>
      <c r="H31" s="18">
        <v>910.6804697</v>
      </c>
      <c r="I31" s="18">
        <v>932.01141104999999</v>
      </c>
      <c r="J31" s="18">
        <v>1020.98628906</v>
      </c>
      <c r="K31" s="18">
        <v>1041.6839206100001</v>
      </c>
      <c r="L31" s="18">
        <v>955.87001039999996</v>
      </c>
      <c r="M31"/>
      <c r="N31"/>
      <c r="O31"/>
      <c r="P31"/>
      <c r="Q31"/>
      <c r="R31"/>
      <c r="S31"/>
      <c r="T31"/>
      <c r="U31"/>
      <c r="V31"/>
      <c r="W31"/>
      <c r="X31"/>
      <c r="Y31"/>
      <c r="Z31"/>
      <c r="AA31"/>
    </row>
    <row r="32" spans="2:27" ht="14.5">
      <c r="B32" s="15"/>
      <c r="C32" s="15" t="s">
        <v>33</v>
      </c>
      <c r="D32" s="15" t="s">
        <v>42</v>
      </c>
      <c r="E32" s="18">
        <v>619.80796078000003</v>
      </c>
      <c r="F32" s="18">
        <v>978.37226552000004</v>
      </c>
      <c r="G32" s="18">
        <v>880.80385887</v>
      </c>
      <c r="H32" s="18">
        <v>831.97757053999999</v>
      </c>
      <c r="I32" s="18">
        <v>882.00886728</v>
      </c>
      <c r="J32" s="18">
        <v>932.58282623000002</v>
      </c>
      <c r="K32" s="18">
        <v>981.91842993</v>
      </c>
      <c r="L32" s="18">
        <v>880.20166030999997</v>
      </c>
      <c r="M32"/>
      <c r="N32"/>
      <c r="O32"/>
      <c r="P32"/>
      <c r="Q32"/>
      <c r="R32"/>
      <c r="S32"/>
      <c r="T32"/>
      <c r="U32"/>
      <c r="V32"/>
      <c r="W32"/>
      <c r="X32"/>
      <c r="Y32"/>
      <c r="Z32"/>
      <c r="AA32"/>
    </row>
    <row r="33" spans="2:27" ht="14.5">
      <c r="B33" s="15" t="s">
        <v>37</v>
      </c>
      <c r="C33" s="15"/>
      <c r="D33" s="15"/>
      <c r="E33" s="18">
        <v>19652.823526250002</v>
      </c>
      <c r="F33" s="18">
        <v>15526.927051969999</v>
      </c>
      <c r="G33" s="18">
        <v>15603.767164429999</v>
      </c>
      <c r="H33" s="18">
        <v>15002.245918750001</v>
      </c>
      <c r="I33" s="18">
        <v>15300.93605753</v>
      </c>
      <c r="J33" s="18">
        <v>15924.01346679</v>
      </c>
      <c r="K33" s="18">
        <v>16459.075421630001</v>
      </c>
      <c r="L33" s="18">
        <v>16947.275960160001</v>
      </c>
      <c r="M33"/>
      <c r="N33"/>
      <c r="O33"/>
      <c r="P33"/>
      <c r="Q33"/>
      <c r="R33"/>
      <c r="S33"/>
      <c r="T33"/>
      <c r="U33"/>
      <c r="V33"/>
      <c r="W33"/>
      <c r="X33"/>
      <c r="Y33"/>
      <c r="Z33"/>
      <c r="AA33"/>
    </row>
    <row r="34" spans="2:27" ht="14.5">
      <c r="B34" s="15" t="s">
        <v>28</v>
      </c>
      <c r="C34" s="15"/>
      <c r="D34" s="15"/>
      <c r="E34" s="18">
        <v>24728.707462280003</v>
      </c>
      <c r="F34" s="18">
        <v>20384.777815240002</v>
      </c>
      <c r="G34" s="18">
        <v>20275.311129189999</v>
      </c>
      <c r="H34" s="18">
        <v>19893.67357236</v>
      </c>
      <c r="I34" s="18">
        <v>20483.533046330002</v>
      </c>
      <c r="J34" s="18">
        <v>21385.952378239999</v>
      </c>
      <c r="K34" s="18">
        <v>22170.55663336</v>
      </c>
      <c r="L34" s="18">
        <v>23009.067025240001</v>
      </c>
      <c r="M34"/>
      <c r="N34"/>
      <c r="O34"/>
      <c r="P34"/>
      <c r="Q34"/>
      <c r="R34"/>
      <c r="S34"/>
      <c r="T34"/>
      <c r="U34"/>
      <c r="V34"/>
      <c r="W34"/>
      <c r="X34"/>
      <c r="Y34"/>
      <c r="Z34"/>
      <c r="AA34"/>
    </row>
    <row r="35" spans="2:27" ht="14.5">
      <c r="B35"/>
      <c r="C35"/>
      <c r="D35"/>
      <c r="E35"/>
      <c r="F35"/>
      <c r="G35"/>
      <c r="H35"/>
      <c r="I35"/>
      <c r="J35"/>
      <c r="K35"/>
      <c r="L35"/>
      <c r="M35"/>
      <c r="N35"/>
      <c r="O35"/>
      <c r="P35"/>
      <c r="Q35"/>
      <c r="R35"/>
      <c r="S35"/>
      <c r="T35"/>
      <c r="U35"/>
      <c r="V35"/>
      <c r="W35"/>
      <c r="X35"/>
      <c r="Y35"/>
      <c r="Z35"/>
      <c r="AA35"/>
    </row>
    <row r="36" spans="2:27" ht="14.5">
      <c r="B36"/>
      <c r="C36"/>
      <c r="D36"/>
      <c r="E36"/>
      <c r="F36"/>
      <c r="G36"/>
      <c r="H36"/>
      <c r="I36"/>
      <c r="J36"/>
      <c r="K36"/>
      <c r="L36"/>
      <c r="M36"/>
      <c r="N36"/>
      <c r="O36"/>
      <c r="P36"/>
      <c r="Q36"/>
      <c r="R36"/>
      <c r="S36"/>
      <c r="T36"/>
      <c r="U36"/>
      <c r="V36"/>
      <c r="W36"/>
      <c r="X36"/>
      <c r="Y36"/>
      <c r="Z36"/>
      <c r="AA36"/>
    </row>
    <row r="37" spans="2:27" ht="14.5">
      <c r="B37"/>
      <c r="C37"/>
      <c r="D37"/>
      <c r="E37"/>
      <c r="F37"/>
      <c r="G37"/>
      <c r="H37"/>
      <c r="I37"/>
      <c r="J37"/>
      <c r="K37"/>
      <c r="L37"/>
      <c r="M37"/>
      <c r="N37"/>
      <c r="O37"/>
      <c r="P37"/>
      <c r="Q37"/>
      <c r="R37"/>
      <c r="S37"/>
      <c r="T37"/>
      <c r="U37"/>
      <c r="V37"/>
      <c r="W37"/>
      <c r="X37"/>
      <c r="Y37"/>
      <c r="Z37"/>
      <c r="AA37"/>
    </row>
    <row r="38" spans="2:27" ht="14.5">
      <c r="B38"/>
      <c r="C38"/>
      <c r="D38"/>
      <c r="E38"/>
      <c r="F38"/>
      <c r="G38"/>
      <c r="H38"/>
      <c r="I38"/>
      <c r="J38"/>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29" sqref="A29"/>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44</v>
      </c>
      <c r="B1" s="1"/>
    </row>
    <row r="2" spans="1:2" ht="25.75" customHeight="1">
      <c r="A2" s="1" t="s">
        <v>45</v>
      </c>
    </row>
    <row r="3" spans="1:2" ht="25.75" customHeight="1">
      <c r="A3" s="1" t="s">
        <v>46</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2026-03-23T04:19:48Z</dcterms:modified>
</cp:coreProperties>
</file>