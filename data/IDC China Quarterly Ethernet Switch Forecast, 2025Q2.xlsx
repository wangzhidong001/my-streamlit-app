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wang\Desktop\work\LAN Tracker\2025Q2\Delivery\Delivery Forecast\"/>
    </mc:Choice>
  </mc:AlternateContent>
  <xr:revisionPtr revIDLastSave="0" documentId="13_ncr:1_{F1C9E067-B03D-4CF2-AAC3-96A396BD8133}" xr6:coauthVersionLast="47" xr6:coauthVersionMax="47" xr10:uidLastSave="{00000000-0000-0000-0000-000000000000}"/>
  <bookViews>
    <workbookView xWindow="28680" yWindow="-120" windowWidth="29040" windowHeight="15720" activeTab="2" xr2:uid="{00000000-000D-0000-FFFF-FFFF00000000}"/>
  </bookViews>
  <sheets>
    <sheet name="Cover" sheetId="2" r:id="rId1"/>
    <sheet name="Info" sheetId="14" r:id="rId2"/>
    <sheet name="Product" sheetId="16" r:id="rId3"/>
    <sheet name="DC Product" sheetId="20" r:id="rId4"/>
    <sheet name="Ethernet Optical Network" sheetId="27" r:id="rId5"/>
    <sheet name="Dates" sheetId="4" state="hidden" r:id="rId6"/>
  </sheets>
  <externalReferences>
    <externalReference r:id="rId7"/>
    <externalReference r:id="rId8"/>
    <externalReference r:id="rId9"/>
    <externalReference r:id="rId10"/>
    <externalReference r:id="rId11"/>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11" r:id="rId12"/>
    <pivotCache cacheId="20" r:id="rId13"/>
    <pivotCache cacheId="4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<sst xmlns="http://schemas.openxmlformats.org/spreadsheetml/2006/main" count="121" uniqueCount="55">
  <si>
    <t>Year</t>
  </si>
  <si>
    <t>2022Q1</t>
  </si>
  <si>
    <t>Country</t>
  </si>
  <si>
    <t>PRC</t>
  </si>
  <si>
    <t>2020Q3</t>
  </si>
  <si>
    <t>2020Q4</t>
  </si>
  <si>
    <t>2021Q1</t>
  </si>
  <si>
    <t>2021Q2</t>
  </si>
  <si>
    <t>2021Q3</t>
  </si>
  <si>
    <t>2021Q4</t>
  </si>
  <si>
    <t>Chinese Yuan Renminbi</t>
  </si>
  <si>
    <t>2020Q2</t>
  </si>
  <si>
    <t xml:space="preserve">Main Contacts </t>
  </si>
  <si>
    <t>2022Q2</t>
  </si>
  <si>
    <t>2022Q3</t>
  </si>
  <si>
    <t>2022Q4</t>
  </si>
  <si>
    <t>2023Q1</t>
  </si>
  <si>
    <t>2023Q2</t>
  </si>
  <si>
    <t>2023Q3</t>
  </si>
  <si>
    <t>2023Q4</t>
  </si>
  <si>
    <t>2024Q1</t>
  </si>
  <si>
    <t>2024Q2</t>
  </si>
  <si>
    <t>2024Q3</t>
  </si>
  <si>
    <t>2024Q4</t>
  </si>
  <si>
    <t>2025Q1</t>
  </si>
  <si>
    <t>2025Q2</t>
  </si>
  <si>
    <t>Technology</t>
  </si>
  <si>
    <t>Sum of Vendor Revenue (CNY M)</t>
  </si>
  <si>
    <t>Grand Total</t>
  </si>
  <si>
    <t>Product</t>
  </si>
  <si>
    <t>Ethernet Switch</t>
  </si>
  <si>
    <t>Speed</t>
  </si>
  <si>
    <t>Fixed Managed</t>
  </si>
  <si>
    <t>100Mb</t>
  </si>
  <si>
    <t>1000Mb</t>
  </si>
  <si>
    <t>2.5Gb/5Gb</t>
  </si>
  <si>
    <t>10Gb</t>
  </si>
  <si>
    <t>25Gb/50Gb</t>
  </si>
  <si>
    <t>40Gb</t>
  </si>
  <si>
    <t>100Gb</t>
  </si>
  <si>
    <t>200Gb/400Gb</t>
  </si>
  <si>
    <t>800Gb</t>
  </si>
  <si>
    <t>Modular</t>
  </si>
  <si>
    <t>Fixed Unmanaged</t>
  </si>
  <si>
    <t>Place in Network</t>
  </si>
  <si>
    <t>Datacenter</t>
  </si>
  <si>
    <t>Datacenter Total</t>
  </si>
  <si>
    <t>Non-DC</t>
  </si>
  <si>
    <t>Non-DC Total</t>
  </si>
  <si>
    <t>2025Q2 Final Forecast Data</t>
  </si>
  <si>
    <t>Publication Date: Sep 23, 2025</t>
  </si>
  <si>
    <t>IDC China Quarterly Ethernet Switch Forecast, 2025Q2</t>
  </si>
  <si>
    <t>Publish Date</t>
  </si>
  <si>
    <t>Ethernet Optical Network</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</si>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</sst>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8">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
      <sz val="9"/>
      <name val="Open Sans"/>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20">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0" fontId="17" fillId="0" borderId="0" xfId="0" applyFont="1" applyAlignment="1">
      <alignmen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s>
  <dxfs count="57">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font>
        <color auto="1"/>
      </font>
    </dxf>
    <dxf>
      <font>
        <color auto="1"/>
      </font>
    </dxf>
    <dxf>
      <font>
        <color auto="1"/>
      </font>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pivotCacheDefinition" Target="pivotCache/pivotCacheDefinition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Ethernet Switch Forecast,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9989" y="95249"/>
          <a:ext cx="13638975"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Ethernet Switch Forecast,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59</xdr:row>
      <xdr:rowOff>13607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69013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9229" y="2216151"/>
          <a:ext cx="13659757"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707136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 2025Q2</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354711</xdr:colOff>
      <xdr:row>12</xdr:row>
      <xdr:rowOff>124278</xdr:rowOff>
    </xdr:to>
    <xdr:pic>
      <xdr:nvPicPr>
        <xdr:cNvPr id="2" name="Picture 1">
          <a:extLst>
            <a:ext uri="{FF2B5EF4-FFF2-40B4-BE49-F238E27FC236}">
              <a16:creationId xmlns:a16="http://schemas.microsoft.com/office/drawing/2014/main" id="{B7A709C2-32A5-497B-AC0F-5CF80EC945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40449"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FD9DF1EC-E204-4C96-8EA0-1FE8B259FDCB}"/>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4685ADF-AD68-4F9B-8D61-0076A5A07B76}"/>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18900F7B-C847-416D-AA67-8A7CAFD5FF3F}"/>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 2025Q2</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354711</xdr:colOff>
      <xdr:row>12</xdr:row>
      <xdr:rowOff>124278</xdr:rowOff>
    </xdr:to>
    <xdr:pic>
      <xdr:nvPicPr>
        <xdr:cNvPr id="2" name="Picture 1">
          <a:extLst>
            <a:ext uri="{FF2B5EF4-FFF2-40B4-BE49-F238E27FC236}">
              <a16:creationId xmlns:a16="http://schemas.microsoft.com/office/drawing/2014/main" id="{7F72F9D0-80C5-4493-80C4-09AB10F5CD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0449"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C7CC2FE8-382E-44C9-B9AF-11FB8B6E3B59}"/>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03EF65E4-F9CA-4F87-BF4B-7330CE105339}"/>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5BEF41A5-8EFC-416D-9BC2-D465B6CE13B5}"/>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5922.718406828702" createdVersion="8" refreshedVersion="8" minRefreshableVersion="3" recordCount="186" xr:uid="{AD9F80B8-6FBC-4C3C-880E-F22B89A1DD7F}">
  <cacheSource type="worksheet">
    <worksheetSource name="DCDB"/>
  </cacheSource>
  <cacheFields count="12">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Ethernet Switch"/>
      </sharedItems>
    </cacheField>
    <cacheField name="Place in Network" numFmtId="0">
      <sharedItems count="2">
        <s v="Non-DC"/>
        <s v="Datacenter"/>
      </sharedItems>
    </cacheField>
    <cacheField name="Product" numFmtId="0">
      <sharedItems count="3">
        <s v="Fixed Managed"/>
        <s v="Modular"/>
        <s v="Fixed Unmanaged"/>
      </sharedItems>
    </cacheField>
    <cacheField name="Speed" numFmtId="0">
      <sharedItems count="9">
        <s v="100Mb"/>
        <s v="1000Mb"/>
        <s v="2.5Gb/5Gb"/>
        <s v="10Gb"/>
        <s v="25Gb/50Gb"/>
        <s v="40Gb"/>
        <s v="100Gb"/>
        <s v="200Gb/400Gb"/>
        <s v="800Gb"/>
      </sharedItems>
    </cacheField>
    <cacheField name="Ports" numFmtId="0">
      <sharedItems containsSemiMixedTypes="0" containsString="0" containsNumber="1" containsInteger="1" minValue="4" maxValue="209840807"/>
    </cacheField>
    <cacheField name="Vendor Revenue (CNY M)" numFmtId="0">
      <sharedItems containsSemiMixedTypes="0" containsString="0" containsNumber="1" minValue="3.4017609999999997E-2" maxValue="30169.709157329999"/>
    </cacheField>
    <cacheField name="Value (CNY M)" numFmtId="0">
      <sharedItems containsSemiMixedTypes="0" containsString="0" containsNumber="1" minValue="4.0480960000000003E-2" maxValue="35991.752356880002"/>
    </cacheField>
    <cacheField name="Vendor Revenue (USD M)" numFmtId="0">
      <sharedItems containsSemiMixedTypes="0" containsString="0" containsNumber="1" minValue="4.7302500000000001E-3" maxValue="4169.8514425800004"/>
    </cacheField>
    <cacheField name="Value (USD M)" numFmtId="0">
      <sharedItems containsSemiMixedTypes="0" containsString="0" containsNumber="1" minValue="5.6290000000000003E-3" maxValue="4974.5345473400002"/>
    </cacheField>
    <cacheField name="Publish Date" numFmtId="0">
      <sharedItems count="1">
        <s v="2025Q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5922.718407175926" createdVersion="8" refreshedVersion="8" minRefreshableVersion="3" recordCount="176" xr:uid="{49D83C52-97DF-44A5-94FF-2A25F1B00EF1}">
  <cacheSource type="worksheet">
    <worksheetSource name="PDB"/>
  </cacheSource>
  <cacheFields count="11">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Ethernet Switch"/>
      </sharedItems>
    </cacheField>
    <cacheField name="Product" numFmtId="0">
      <sharedItems count="3">
        <s v="Fixed Managed"/>
        <s v="Fixed Unmanaged"/>
        <s v="Modular"/>
      </sharedItems>
    </cacheField>
    <cacheField name="Speed" numFmtId="0">
      <sharedItems count="9">
        <s v="100Mb"/>
        <s v="1000Mb"/>
        <s v="2.5Gb/5Gb"/>
        <s v="10Gb"/>
        <s v="25Gb/50Gb"/>
        <s v="40Gb"/>
        <s v="100Gb"/>
        <s v="200Gb/400Gb"/>
        <s v="800Gb"/>
      </sharedItems>
    </cacheField>
    <cacheField name="Ports" numFmtId="0">
      <sharedItems containsSemiMixedTypes="0" containsString="0" containsNumber="1" containsInteger="1" minValue="4" maxValue="209840807"/>
    </cacheField>
    <cacheField name="Vendor Revenue (CNY M)" numFmtId="0">
      <sharedItems containsSemiMixedTypes="0" containsString="0" containsNumber="1" minValue="3.4017609999999997E-2" maxValue="30169.709157329999"/>
    </cacheField>
    <cacheField name="Value (CNY M)" numFmtId="0">
      <sharedItems containsSemiMixedTypes="0" containsString="0" containsNumber="1" minValue="4.0480960000000003E-2" maxValue="35991.752356880002"/>
    </cacheField>
    <cacheField name="Vendor Revenue (USD M)" numFmtId="0">
      <sharedItems containsSemiMixedTypes="0" containsString="0" containsNumber="1" minValue="4.7302500000000001E-3" maxValue="4169.8514425800004"/>
    </cacheField>
    <cacheField name="Value (USD M)" numFmtId="0">
      <sharedItems containsSemiMixedTypes="0" containsString="0" containsNumber="1" minValue="5.6290000000000003E-3" maxValue="4974.5345473400002"/>
    </cacheField>
    <cacheField name="Publish Date" numFmtId="0">
      <sharedItems count="1">
        <s v="2025Q2"/>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5922.723441782407" createdVersion="8" refreshedVersion="8" minRefreshableVersion="3" recordCount="5" xr:uid="{8C49696F-5DAB-466B-99DD-56A935816D92}">
  <cacheSource type="worksheet">
    <worksheetSource name="EONDB"/>
  </cacheSource>
  <cacheFields count="6">
    <cacheField name="Country" numFmtId="0">
      <sharedItems count="1">
        <s v="PRC"/>
      </sharedItems>
    </cacheField>
    <cacheField name="Year" numFmtId="0">
      <sharedItems containsSemiMixedTypes="0" containsString="0" containsNumber="1" containsInteger="1" minValue="2025" maxValue="2029" count="5">
        <n v="2025"/>
        <n v="2026"/>
        <n v="2027"/>
        <n v="2028"/>
        <n v="2029"/>
      </sharedItems>
    </cacheField>
    <cacheField name="Technology" numFmtId="0">
      <sharedItems count="1">
        <s v="Ethernet Optical Network"/>
      </sharedItems>
    </cacheField>
    <cacheField name="Vendor Revenue (CNY M)" numFmtId="0">
      <sharedItems containsSemiMixedTypes="0" containsString="0" containsNumber="1" minValue="310.30221125164746" maxValue="636.96088595941194"/>
    </cacheField>
    <cacheField name="Vendor Revenue (USD M)" numFmtId="0">
      <sharedItems containsSemiMixedTypes="0" containsString="0" containsNumber="1" minValue="42.839525324274113" maxValue="87.937181931652873"/>
    </cacheField>
    <cacheField name="Publish Date" numFmtId="0">
      <sharedItems count="1">
        <s v="2025Q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6">
  <r>
    <x v="0"/>
    <x v="0"/>
    <x v="0"/>
    <x v="0"/>
    <x v="0"/>
    <x v="0"/>
    <n v="10851586"/>
    <n v="167.33298884000018"/>
    <n v="203.77190082000001"/>
    <n v="23.727156549999993"/>
    <n v="28.896597610000008"/>
    <x v="0"/>
  </r>
  <r>
    <x v="0"/>
    <x v="1"/>
    <x v="0"/>
    <x v="0"/>
    <x v="0"/>
    <x v="0"/>
    <n v="7902595"/>
    <n v="97.727782210000001"/>
    <n v="119.55880147000001"/>
    <n v="13.59044995"/>
    <n v="16.62667845"/>
    <x v="0"/>
  </r>
  <r>
    <x v="0"/>
    <x v="0"/>
    <x v="0"/>
    <x v="0"/>
    <x v="1"/>
    <x v="0"/>
    <n v="847"/>
    <n v="0.15158940000000001"/>
    <n v="0.19109875999999998"/>
    <n v="2.182949E-2"/>
    <n v="2.7515689999999999E-2"/>
    <x v="0"/>
  </r>
  <r>
    <x v="0"/>
    <x v="1"/>
    <x v="0"/>
    <x v="0"/>
    <x v="1"/>
    <x v="0"/>
    <n v="357"/>
    <n v="3.5558939999999997E-2"/>
    <n v="4.6226620000000003E-2"/>
    <n v="4.9510999999999999E-3"/>
    <n v="6.4364299999999999E-3"/>
    <x v="0"/>
  </r>
  <r>
    <x v="0"/>
    <x v="0"/>
    <x v="0"/>
    <x v="0"/>
    <x v="2"/>
    <x v="0"/>
    <n v="23848009"/>
    <n v="119.24562974"/>
    <n v="145.68043438999999"/>
    <n v="16.812982550000001"/>
    <n v="20.543080670000002"/>
    <x v="0"/>
  </r>
  <r>
    <x v="0"/>
    <x v="1"/>
    <x v="0"/>
    <x v="0"/>
    <x v="2"/>
    <x v="0"/>
    <n v="14136854"/>
    <n v="87.743112109999998"/>
    <n v="107.31355978000001"/>
    <n v="12.2006072"/>
    <n v="14.92174822"/>
    <x v="0"/>
  </r>
  <r>
    <x v="0"/>
    <x v="0"/>
    <x v="0"/>
    <x v="1"/>
    <x v="0"/>
    <x v="1"/>
    <n v="1804837"/>
    <n v="174.41480662999993"/>
    <n v="216.09307483000003"/>
    <n v="24.55187827"/>
    <n v="30.42052095"/>
    <x v="0"/>
  </r>
  <r>
    <x v="0"/>
    <x v="1"/>
    <x v="0"/>
    <x v="1"/>
    <x v="0"/>
    <x v="1"/>
    <n v="1919752"/>
    <n v="191.85840109"/>
    <n v="234.99424579999999"/>
    <n v="26.688093330000001"/>
    <n v="32.687984790000002"/>
    <x v="0"/>
  </r>
  <r>
    <x v="0"/>
    <x v="0"/>
    <x v="0"/>
    <x v="0"/>
    <x v="0"/>
    <x v="1"/>
    <n v="197105298"/>
    <n v="10199.365133850002"/>
    <n v="12313.042689079995"/>
    <n v="1436.7821218399999"/>
    <n v="1734.5679008500015"/>
    <x v="0"/>
  </r>
  <r>
    <x v="0"/>
    <x v="1"/>
    <x v="0"/>
    <x v="0"/>
    <x v="0"/>
    <x v="1"/>
    <n v="209840807"/>
    <n v="9344.7804041799991"/>
    <n v="11279.9098545"/>
    <n v="1299.90955136"/>
    <n v="1569.0921930300001"/>
    <x v="0"/>
  </r>
  <r>
    <x v="0"/>
    <x v="0"/>
    <x v="0"/>
    <x v="1"/>
    <x v="1"/>
    <x v="1"/>
    <n v="6499"/>
    <n v="3.3036758099999997"/>
    <n v="4.1162673899999991"/>
    <n v="0.46786721000000014"/>
    <n v="0.58315331999999998"/>
    <x v="0"/>
  </r>
  <r>
    <x v="0"/>
    <x v="1"/>
    <x v="0"/>
    <x v="1"/>
    <x v="1"/>
    <x v="1"/>
    <n v="3891"/>
    <n v="2.44360767"/>
    <n v="3.1683905399999999"/>
    <n v="0.33912110000000001"/>
    <n v="0.43970380999999997"/>
    <x v="0"/>
  </r>
  <r>
    <x v="0"/>
    <x v="0"/>
    <x v="0"/>
    <x v="0"/>
    <x v="1"/>
    <x v="1"/>
    <n v="4976470"/>
    <n v="1299.6313132800005"/>
    <n v="1561.2069075500003"/>
    <n v="183.43607863999998"/>
    <n v="220.36911069999991"/>
    <x v="0"/>
  </r>
  <r>
    <x v="0"/>
    <x v="1"/>
    <x v="0"/>
    <x v="0"/>
    <x v="1"/>
    <x v="1"/>
    <n v="4801672"/>
    <n v="1132.0530692"/>
    <n v="1358.3766335099999"/>
    <n v="157.43274006999999"/>
    <n v="188.90856399"/>
    <x v="0"/>
  </r>
  <r>
    <x v="0"/>
    <x v="0"/>
    <x v="0"/>
    <x v="0"/>
    <x v="2"/>
    <x v="1"/>
    <n v="27275134"/>
    <n v="345.88194091000003"/>
    <n v="420.07502184000015"/>
    <n v="48.85136232"/>
    <n v="59.336971480000003"/>
    <x v="0"/>
  </r>
  <r>
    <x v="0"/>
    <x v="1"/>
    <x v="0"/>
    <x v="0"/>
    <x v="2"/>
    <x v="1"/>
    <n v="18070080"/>
    <n v="287.08932728000002"/>
    <n v="350.41619231999999"/>
    <n v="39.898696119999997"/>
    <n v="48.699686630000002"/>
    <x v="0"/>
  </r>
  <r>
    <x v="0"/>
    <x v="0"/>
    <x v="0"/>
    <x v="0"/>
    <x v="0"/>
    <x v="2"/>
    <n v="1897145"/>
    <n v="364.32355223000019"/>
    <n v="439.45413682000003"/>
    <n v="50.981849790000005"/>
    <n v="61.496882980000002"/>
    <x v="0"/>
  </r>
  <r>
    <x v="0"/>
    <x v="1"/>
    <x v="0"/>
    <x v="0"/>
    <x v="0"/>
    <x v="2"/>
    <n v="2817881"/>
    <n v="465.16581987000001"/>
    <n v="560.76662873999999"/>
    <n v="64.646141110000002"/>
    <n v="77.931717399999997"/>
    <x v="0"/>
  </r>
  <r>
    <x v="0"/>
    <x v="0"/>
    <x v="0"/>
    <x v="0"/>
    <x v="1"/>
    <x v="2"/>
    <n v="61646"/>
    <n v="10.524213100000001"/>
    <n v="12.73429784"/>
    <n v="1.4601894"/>
    <n v="1.7668291700000001"/>
    <x v="0"/>
  </r>
  <r>
    <x v="0"/>
    <x v="1"/>
    <x v="0"/>
    <x v="0"/>
    <x v="1"/>
    <x v="2"/>
    <n v="90453"/>
    <n v="24.848116749999999"/>
    <n v="30.06622127"/>
    <n v="3.4555899299999999"/>
    <n v="4.1812638199999999"/>
    <x v="0"/>
  </r>
  <r>
    <x v="0"/>
    <x v="0"/>
    <x v="0"/>
    <x v="1"/>
    <x v="0"/>
    <x v="3"/>
    <n v="6147573"/>
    <n v="2074.2375058900002"/>
    <n v="2499.7370299699992"/>
    <n v="292.77994803000001"/>
    <n v="352.83720886999998"/>
    <x v="0"/>
  </r>
  <r>
    <x v="0"/>
    <x v="1"/>
    <x v="0"/>
    <x v="1"/>
    <x v="0"/>
    <x v="3"/>
    <n v="4630580"/>
    <n v="1658.0638059299999"/>
    <n v="1998.22796651"/>
    <n v="230.63707939"/>
    <n v="277.95358618"/>
    <x v="0"/>
  </r>
  <r>
    <x v="0"/>
    <x v="0"/>
    <x v="0"/>
    <x v="0"/>
    <x v="0"/>
    <x v="3"/>
    <n v="14832870"/>
    <n v="5016.5981462100008"/>
    <n v="6035.122060990001"/>
    <n v="704.62027236000029"/>
    <n v="847.68765979999978"/>
    <x v="0"/>
  </r>
  <r>
    <x v="0"/>
    <x v="1"/>
    <x v="0"/>
    <x v="0"/>
    <x v="0"/>
    <x v="3"/>
    <n v="15445736"/>
    <n v="4120.9612069900004"/>
    <n v="4952.4074215399996"/>
    <n v="573.15329742999995"/>
    <n v="688.79264333000003"/>
    <x v="0"/>
  </r>
  <r>
    <x v="0"/>
    <x v="0"/>
    <x v="0"/>
    <x v="1"/>
    <x v="1"/>
    <x v="3"/>
    <n v="890492"/>
    <n v="1194.3823176999999"/>
    <n v="1436.1942996600001"/>
    <n v="168.22973621999995"/>
    <n v="202.28754369000001"/>
    <x v="0"/>
  </r>
  <r>
    <x v="0"/>
    <x v="1"/>
    <x v="0"/>
    <x v="1"/>
    <x v="1"/>
    <x v="3"/>
    <n v="625926"/>
    <n v="1088.1881405300001"/>
    <n v="1311.59773451"/>
    <n v="151.22880305000001"/>
    <n v="182.27687177000001"/>
    <x v="0"/>
  </r>
  <r>
    <x v="0"/>
    <x v="0"/>
    <x v="0"/>
    <x v="0"/>
    <x v="1"/>
    <x v="3"/>
    <n v="2896635"/>
    <n v="2218.2761350499995"/>
    <n v="2667.0672318100005"/>
    <n v="312.64230315000009"/>
    <n v="375.89982868000004"/>
    <x v="0"/>
  </r>
  <r>
    <x v="0"/>
    <x v="1"/>
    <x v="0"/>
    <x v="0"/>
    <x v="1"/>
    <x v="3"/>
    <n v="3323722"/>
    <n v="2290.4330850400002"/>
    <n v="2753.5583144799998"/>
    <n v="318.50974456"/>
    <n v="382.91294833000001"/>
    <x v="0"/>
  </r>
  <r>
    <x v="0"/>
    <x v="0"/>
    <x v="0"/>
    <x v="1"/>
    <x v="0"/>
    <x v="4"/>
    <n v="5823200"/>
    <n v="3107.1131412499994"/>
    <n v="3742.0461211700012"/>
    <n v="438.31911011000005"/>
    <n v="527.87093238999989"/>
    <x v="0"/>
  </r>
  <r>
    <x v="0"/>
    <x v="1"/>
    <x v="0"/>
    <x v="1"/>
    <x v="0"/>
    <x v="4"/>
    <n v="4615698"/>
    <n v="2871.2716264000001"/>
    <n v="3462.8395477499998"/>
    <n v="399.40397459000002"/>
    <n v="481.69464820000002"/>
    <x v="0"/>
  </r>
  <r>
    <x v="0"/>
    <x v="0"/>
    <x v="0"/>
    <x v="0"/>
    <x v="0"/>
    <x v="4"/>
    <n v="201230"/>
    <n v="77.223107539999972"/>
    <n v="92.397669869999973"/>
    <n v="10.846665880000003"/>
    <n v="12.978655000000002"/>
    <x v="0"/>
  </r>
  <r>
    <x v="0"/>
    <x v="1"/>
    <x v="0"/>
    <x v="0"/>
    <x v="0"/>
    <x v="4"/>
    <n v="247725"/>
    <n v="82.128408230000005"/>
    <n v="98.282134319999997"/>
    <n v="11.42716414"/>
    <n v="13.67472237"/>
    <x v="0"/>
  </r>
  <r>
    <x v="0"/>
    <x v="0"/>
    <x v="0"/>
    <x v="1"/>
    <x v="1"/>
    <x v="4"/>
    <n v="18688"/>
    <n v="32.547272019999994"/>
    <n v="40.241161240000004"/>
    <n v="4.5773342399999999"/>
    <n v="5.6601527100000002"/>
    <x v="0"/>
  </r>
  <r>
    <x v="0"/>
    <x v="1"/>
    <x v="0"/>
    <x v="1"/>
    <x v="1"/>
    <x v="4"/>
    <n v="16610"/>
    <n v="19.379328940000001"/>
    <n v="23.989103119999999"/>
    <n v="2.69356697"/>
    <n v="3.3342859800000002"/>
    <x v="0"/>
  </r>
  <r>
    <x v="0"/>
    <x v="0"/>
    <x v="0"/>
    <x v="0"/>
    <x v="1"/>
    <x v="4"/>
    <n v="20456"/>
    <n v="32.854489019999995"/>
    <n v="39.567705130000007"/>
    <n v="4.6401748899999999"/>
    <n v="5.5882343800000003"/>
    <x v="0"/>
  </r>
  <r>
    <x v="0"/>
    <x v="1"/>
    <x v="0"/>
    <x v="0"/>
    <x v="1"/>
    <x v="4"/>
    <n v="20945"/>
    <n v="28.961128689999999"/>
    <n v="34.815328000000001"/>
    <n v="4.0234032500000003"/>
    <n v="4.8366542600000004"/>
    <x v="0"/>
  </r>
  <r>
    <x v="0"/>
    <x v="0"/>
    <x v="0"/>
    <x v="1"/>
    <x v="0"/>
    <x v="5"/>
    <n v="347646"/>
    <n v="212.80052374000005"/>
    <n v="261.77154713000004"/>
    <n v="30.155273159999993"/>
    <n v="37.095030139999977"/>
    <x v="0"/>
  </r>
  <r>
    <x v="0"/>
    <x v="1"/>
    <x v="0"/>
    <x v="1"/>
    <x v="0"/>
    <x v="5"/>
    <n v="200041"/>
    <n v="106.60450016"/>
    <n v="132.85091369"/>
    <n v="14.83868391"/>
    <n v="18.492082719999999"/>
    <x v="0"/>
  </r>
  <r>
    <x v="0"/>
    <x v="0"/>
    <x v="0"/>
    <x v="0"/>
    <x v="0"/>
    <x v="5"/>
    <n v="356137"/>
    <n v="291.23353406999991"/>
    <n v="352.43872656999997"/>
    <n v="41.131599000000001"/>
    <n v="49.776786860000016"/>
    <x v="0"/>
  </r>
  <r>
    <x v="0"/>
    <x v="1"/>
    <x v="0"/>
    <x v="0"/>
    <x v="0"/>
    <x v="5"/>
    <n v="384606"/>
    <n v="216.66717496000001"/>
    <n v="262.50546575999999"/>
    <n v="30.13179388"/>
    <n v="36.507001000000002"/>
    <x v="0"/>
  </r>
  <r>
    <x v="0"/>
    <x v="0"/>
    <x v="0"/>
    <x v="1"/>
    <x v="1"/>
    <x v="5"/>
    <n v="442313"/>
    <n v="720.71670096000014"/>
    <n v="867.50948004000031"/>
    <n v="101.71637844"/>
    <n v="122.42828548999999"/>
    <x v="0"/>
  </r>
  <r>
    <x v="0"/>
    <x v="1"/>
    <x v="0"/>
    <x v="1"/>
    <x v="1"/>
    <x v="5"/>
    <n v="260147"/>
    <n v="376.23126228000001"/>
    <n v="453.33051224000002"/>
    <n v="52.292131419999997"/>
    <n v="63.008983579999999"/>
    <x v="0"/>
  </r>
  <r>
    <x v="0"/>
    <x v="0"/>
    <x v="0"/>
    <x v="0"/>
    <x v="1"/>
    <x v="5"/>
    <n v="196431"/>
    <n v="272.98857017"/>
    <n v="326.30127273000005"/>
    <n v="38.459540589999996"/>
    <n v="45.970761580000001"/>
    <x v="0"/>
  </r>
  <r>
    <x v="0"/>
    <x v="1"/>
    <x v="0"/>
    <x v="0"/>
    <x v="1"/>
    <x v="5"/>
    <n v="210650"/>
    <n v="265.60959635"/>
    <n v="318.03731837999999"/>
    <n v="36.940647980000001"/>
    <n v="44.232303700000003"/>
    <x v="0"/>
  </r>
  <r>
    <x v="0"/>
    <x v="0"/>
    <x v="0"/>
    <x v="1"/>
    <x v="0"/>
    <x v="6"/>
    <n v="4226035"/>
    <n v="5081.4351587499996"/>
    <n v="6100.8955475099974"/>
    <n v="718.0764842100001"/>
    <n v="862.11639840999953"/>
    <x v="0"/>
  </r>
  <r>
    <x v="0"/>
    <x v="1"/>
    <x v="0"/>
    <x v="1"/>
    <x v="0"/>
    <x v="6"/>
    <n v="4557553"/>
    <n v="4846.2009444699997"/>
    <n v="5819.3303416700001"/>
    <n v="673.89599426999996"/>
    <n v="809.21792029000005"/>
    <x v="0"/>
  </r>
  <r>
    <x v="0"/>
    <x v="0"/>
    <x v="0"/>
    <x v="0"/>
    <x v="0"/>
    <x v="6"/>
    <n v="346289"/>
    <n v="486.01097593999992"/>
    <n v="592.01308664999999"/>
    <n v="68.305828090000006"/>
    <n v="83.213045950000009"/>
    <x v="0"/>
  </r>
  <r>
    <x v="0"/>
    <x v="1"/>
    <x v="0"/>
    <x v="0"/>
    <x v="0"/>
    <x v="6"/>
    <n v="445552"/>
    <n v="426.31286030000001"/>
    <n v="522.72550387000001"/>
    <n v="59.301796029999998"/>
    <n v="72.713742980000006"/>
    <x v="0"/>
  </r>
  <r>
    <x v="0"/>
    <x v="0"/>
    <x v="0"/>
    <x v="1"/>
    <x v="1"/>
    <x v="6"/>
    <n v="940162"/>
    <n v="2373.7841638000004"/>
    <n v="2859.2048623599999"/>
    <n v="335.94315444"/>
    <n v="404.64288222999988"/>
    <x v="0"/>
  </r>
  <r>
    <x v="0"/>
    <x v="1"/>
    <x v="0"/>
    <x v="1"/>
    <x v="1"/>
    <x v="6"/>
    <n v="1060841"/>
    <n v="3687.57309433"/>
    <n v="4448.4202409299996"/>
    <n v="512.37770470999999"/>
    <n v="618.09470836000003"/>
    <x v="0"/>
  </r>
  <r>
    <x v="0"/>
    <x v="0"/>
    <x v="0"/>
    <x v="0"/>
    <x v="1"/>
    <x v="6"/>
    <n v="67527"/>
    <n v="204.98195459000002"/>
    <n v="246.05047019999998"/>
    <n v="28.822758129999997"/>
    <n v="34.596163589999996"/>
    <x v="0"/>
  </r>
  <r>
    <x v="0"/>
    <x v="1"/>
    <x v="0"/>
    <x v="0"/>
    <x v="1"/>
    <x v="6"/>
    <n v="75281"/>
    <n v="293.93672509999999"/>
    <n v="352.73415287"/>
    <n v="40.899211340000001"/>
    <n v="49.080640019999997"/>
    <x v="0"/>
  </r>
  <r>
    <x v="0"/>
    <x v="0"/>
    <x v="0"/>
    <x v="1"/>
    <x v="0"/>
    <x v="7"/>
    <n v="2350004"/>
    <n v="2644.5431698299994"/>
    <n v="3133.5831084599999"/>
    <n v="371.39148761000001"/>
    <n v="440.06727454999998"/>
    <x v="0"/>
  </r>
  <r>
    <x v="0"/>
    <x v="1"/>
    <x v="0"/>
    <x v="1"/>
    <x v="0"/>
    <x v="7"/>
    <n v="6366228"/>
    <n v="5808.0059737299998"/>
    <n v="6917.4466709300004"/>
    <n v="807.93960721999997"/>
    <n v="962.26526028000001"/>
    <x v="0"/>
  </r>
  <r>
    <x v="0"/>
    <x v="0"/>
    <x v="0"/>
    <x v="1"/>
    <x v="1"/>
    <x v="7"/>
    <n v="137210"/>
    <n v="680.28417735000005"/>
    <n v="824.42614239"/>
    <n v="95.326445539999995"/>
    <n v="115.52887224"/>
    <x v="0"/>
  </r>
  <r>
    <x v="0"/>
    <x v="1"/>
    <x v="0"/>
    <x v="1"/>
    <x v="1"/>
    <x v="7"/>
    <n v="263043"/>
    <n v="1904.94145757"/>
    <n v="2307.27366454"/>
    <n v="264.48490268"/>
    <n v="320.34811065999997"/>
    <x v="0"/>
  </r>
  <r>
    <x v="0"/>
    <x v="1"/>
    <x v="0"/>
    <x v="0"/>
    <x v="1"/>
    <x v="7"/>
    <n v="4"/>
    <n v="3.4017609999999997E-2"/>
    <n v="4.0480960000000003E-2"/>
    <n v="4.7302500000000001E-3"/>
    <n v="5.6290000000000003E-3"/>
    <x v="0"/>
  </r>
  <r>
    <x v="0"/>
    <x v="2"/>
    <x v="0"/>
    <x v="1"/>
    <x v="0"/>
    <x v="1"/>
    <n v="2892323"/>
    <n v="229.61707956999999"/>
    <n v="278.24914324999997"/>
    <n v="31.712700000000002"/>
    <n v="38.429405019999997"/>
    <x v="0"/>
  </r>
  <r>
    <x v="0"/>
    <x v="3"/>
    <x v="0"/>
    <x v="1"/>
    <x v="0"/>
    <x v="1"/>
    <n v="3738266"/>
    <n v="258.68640054999997"/>
    <n v="313.62788160000002"/>
    <n v="35.753870050000003"/>
    <n v="43.347506860000003"/>
    <x v="0"/>
  </r>
  <r>
    <x v="0"/>
    <x v="4"/>
    <x v="0"/>
    <x v="1"/>
    <x v="0"/>
    <x v="1"/>
    <n v="4559880"/>
    <n v="284.48996602"/>
    <n v="344.91177420999998"/>
    <n v="39.320262880000001"/>
    <n v="47.671353140000001"/>
    <x v="0"/>
  </r>
  <r>
    <x v="0"/>
    <x v="5"/>
    <x v="0"/>
    <x v="1"/>
    <x v="0"/>
    <x v="1"/>
    <n v="3958370"/>
    <n v="235.62889461"/>
    <n v="285.67327428999999"/>
    <n v="32.567018830000002"/>
    <n v="39.483811680000002"/>
    <x v="0"/>
  </r>
  <r>
    <x v="0"/>
    <x v="6"/>
    <x v="0"/>
    <x v="1"/>
    <x v="0"/>
    <x v="1"/>
    <n v="2685488"/>
    <n v="143.23367909000001"/>
    <n v="173.65456881"/>
    <n v="19.796782270000001"/>
    <n v="24.001350179999999"/>
    <x v="0"/>
  </r>
  <r>
    <x v="0"/>
    <x v="2"/>
    <x v="0"/>
    <x v="1"/>
    <x v="0"/>
    <x v="6"/>
    <n v="4787606"/>
    <n v="4924.8866470800003"/>
    <n v="5918.9466391799997"/>
    <n v="679.98684923999997"/>
    <n v="817.23803252000005"/>
    <x v="0"/>
  </r>
  <r>
    <x v="0"/>
    <x v="3"/>
    <x v="0"/>
    <x v="1"/>
    <x v="0"/>
    <x v="6"/>
    <n v="5505101"/>
    <n v="5359.5139827599996"/>
    <n v="6440.7467815"/>
    <n v="740.75547085999995"/>
    <n v="890.19609430000003"/>
    <x v="0"/>
  </r>
  <r>
    <x v="0"/>
    <x v="4"/>
    <x v="0"/>
    <x v="1"/>
    <x v="0"/>
    <x v="6"/>
    <n v="5890601"/>
    <n v="5035.5339763700003"/>
    <n v="6051.4067797500002"/>
    <n v="695.97716391999995"/>
    <n v="836.38417456000002"/>
    <x v="0"/>
  </r>
  <r>
    <x v="0"/>
    <x v="5"/>
    <x v="0"/>
    <x v="1"/>
    <x v="0"/>
    <x v="6"/>
    <n v="6596059"/>
    <n v="4907.6716669400003"/>
    <n v="5897.7494219"/>
    <n v="678.30490753000004"/>
    <n v="815.14670249999995"/>
    <x v="0"/>
  </r>
  <r>
    <x v="0"/>
    <x v="6"/>
    <x v="0"/>
    <x v="1"/>
    <x v="0"/>
    <x v="6"/>
    <n v="7769969"/>
    <n v="4664.1608623700004"/>
    <n v="5605.1125455299998"/>
    <n v="644.64850486"/>
    <n v="774.70042923000005"/>
    <x v="0"/>
  </r>
  <r>
    <x v="0"/>
    <x v="2"/>
    <x v="0"/>
    <x v="1"/>
    <x v="0"/>
    <x v="3"/>
    <n v="3558585"/>
    <n v="1292.6253645100001"/>
    <n v="1557.35223965"/>
    <n v="178.45751095"/>
    <n v="215.00532577999999"/>
    <x v="0"/>
  </r>
  <r>
    <x v="0"/>
    <x v="3"/>
    <x v="0"/>
    <x v="1"/>
    <x v="0"/>
    <x v="3"/>
    <n v="2408998"/>
    <n v="752.24897527999997"/>
    <n v="906.43669209999996"/>
    <n v="103.97072303"/>
    <n v="125.28149768999999"/>
    <x v="0"/>
  </r>
  <r>
    <x v="0"/>
    <x v="4"/>
    <x v="0"/>
    <x v="1"/>
    <x v="0"/>
    <x v="3"/>
    <n v="889051"/>
    <n v="239.83683088000001"/>
    <n v="288.99594518999999"/>
    <n v="33.148611080000002"/>
    <n v="39.943048589999997"/>
    <x v="0"/>
  </r>
  <r>
    <x v="0"/>
    <x v="5"/>
    <x v="0"/>
    <x v="1"/>
    <x v="0"/>
    <x v="3"/>
    <n v="302325"/>
    <n v="68.434013899999997"/>
    <n v="82.460864990000005"/>
    <n v="9.4584826799999995"/>
    <n v="11.39717838"/>
    <x v="0"/>
  </r>
  <r>
    <x v="0"/>
    <x v="6"/>
    <x v="0"/>
    <x v="1"/>
    <x v="0"/>
    <x v="3"/>
    <n v="93576"/>
    <n v="18.085495739999999"/>
    <n v="21.792461639999999"/>
    <n v="2.4996538799999999"/>
    <n v="3.0120054199999999"/>
    <x v="0"/>
  </r>
  <r>
    <x v="0"/>
    <x v="2"/>
    <x v="0"/>
    <x v="1"/>
    <x v="0"/>
    <x v="7"/>
    <n v="17824033"/>
    <n v="15451.639381249999"/>
    <n v="18430.981526790001"/>
    <n v="2134.4751565000001"/>
    <n v="2546.0400670099998"/>
    <x v="0"/>
  </r>
  <r>
    <x v="0"/>
    <x v="3"/>
    <x v="0"/>
    <x v="1"/>
    <x v="0"/>
    <x v="7"/>
    <n v="24124907"/>
    <n v="20386.824860500001"/>
    <n v="24321.001833189999"/>
    <n v="2817.7278942500002"/>
    <n v="3361.4830043699999"/>
    <x v="0"/>
  </r>
  <r>
    <x v="0"/>
    <x v="4"/>
    <x v="0"/>
    <x v="1"/>
    <x v="0"/>
    <x v="7"/>
    <n v="31360209"/>
    <n v="25309.467549770001"/>
    <n v="30193.598605319999"/>
    <n v="3498.1019943800002"/>
    <n v="4173.1532791500003"/>
    <x v="0"/>
  </r>
  <r>
    <x v="0"/>
    <x v="5"/>
    <x v="0"/>
    <x v="1"/>
    <x v="0"/>
    <x v="7"/>
    <n v="37762688"/>
    <n v="28616.303500450002"/>
    <n v="34138.575999740002"/>
    <n v="3955.1503069"/>
    <n v="4718.4011498999998"/>
    <x v="0"/>
  </r>
  <r>
    <x v="0"/>
    <x v="6"/>
    <x v="0"/>
    <x v="1"/>
    <x v="0"/>
    <x v="7"/>
    <n v="38672623"/>
    <n v="30169.709157329999"/>
    <n v="35991.752356880002"/>
    <n v="4169.8514425800004"/>
    <n v="4974.5345473400002"/>
    <x v="0"/>
  </r>
  <r>
    <x v="0"/>
    <x v="2"/>
    <x v="0"/>
    <x v="1"/>
    <x v="0"/>
    <x v="4"/>
    <n v="4704603"/>
    <n v="2591.5192491600001"/>
    <n v="3124.5477995000001"/>
    <n v="357.78562518000001"/>
    <n v="431.37523127999998"/>
    <x v="0"/>
  </r>
  <r>
    <x v="0"/>
    <x v="3"/>
    <x v="0"/>
    <x v="1"/>
    <x v="0"/>
    <x v="4"/>
    <n v="4865167"/>
    <n v="2743.2286327299998"/>
    <n v="3306.5249153"/>
    <n v="379.15035282000002"/>
    <n v="457.00532332"/>
    <x v="0"/>
  </r>
  <r>
    <x v="0"/>
    <x v="4"/>
    <x v="0"/>
    <x v="1"/>
    <x v="0"/>
    <x v="4"/>
    <n v="4947053"/>
    <n v="2549.32504995"/>
    <n v="3072.8050495900002"/>
    <n v="352.35032202999997"/>
    <n v="424.70215745000002"/>
    <x v="0"/>
  </r>
  <r>
    <x v="0"/>
    <x v="5"/>
    <x v="0"/>
    <x v="1"/>
    <x v="0"/>
    <x v="4"/>
    <n v="4382988"/>
    <n v="2059.9790120399998"/>
    <n v="2482.9763903100002"/>
    <n v="284.71625001000001"/>
    <n v="343.18006279000002"/>
    <x v="0"/>
  </r>
  <r>
    <x v="0"/>
    <x v="6"/>
    <x v="0"/>
    <x v="1"/>
    <x v="0"/>
    <x v="4"/>
    <n v="3941240"/>
    <n v="1589.9967670399999"/>
    <n v="1916.48769728"/>
    <n v="219.75850937999999"/>
    <n v="264.88385908999999"/>
    <x v="0"/>
  </r>
  <r>
    <x v="0"/>
    <x v="2"/>
    <x v="0"/>
    <x v="1"/>
    <x v="0"/>
    <x v="5"/>
    <n v="156721"/>
    <n v="72.098440060000001"/>
    <n v="90.12755559"/>
    <n v="9.9514660399999997"/>
    <n v="12.439826070000001"/>
    <x v="0"/>
  </r>
  <r>
    <x v="0"/>
    <x v="3"/>
    <x v="0"/>
    <x v="1"/>
    <x v="0"/>
    <x v="5"/>
    <n v="83959"/>
    <n v="32.257669419999999"/>
    <n v="40.191727010000001"/>
    <n v="4.4584350700000002"/>
    <n v="5.5550264"/>
    <x v="0"/>
  </r>
  <r>
    <x v="0"/>
    <x v="4"/>
    <x v="0"/>
    <x v="1"/>
    <x v="0"/>
    <x v="5"/>
    <n v="14907"/>
    <n v="4.6982017999999997"/>
    <n v="5.8537658700000001"/>
    <n v="0.64935341000000002"/>
    <n v="0.8090676"/>
    <x v="0"/>
  </r>
  <r>
    <x v="0"/>
    <x v="2"/>
    <x v="0"/>
    <x v="1"/>
    <x v="0"/>
    <x v="8"/>
    <n v="34157"/>
    <n v="95.125322589999996"/>
    <n v="113.19913389"/>
    <n v="13.14066553"/>
    <n v="15.637391969999999"/>
    <x v="0"/>
  </r>
  <r>
    <x v="0"/>
    <x v="3"/>
    <x v="0"/>
    <x v="1"/>
    <x v="0"/>
    <x v="8"/>
    <n v="974264"/>
    <n v="2003.6378556699999"/>
    <n v="2384.3290482399998"/>
    <n v="276.92915962000001"/>
    <n v="329.54569995000003"/>
    <x v="0"/>
  </r>
  <r>
    <x v="0"/>
    <x v="4"/>
    <x v="0"/>
    <x v="1"/>
    <x v="0"/>
    <x v="8"/>
    <n v="3385552"/>
    <n v="6159.4766964099999"/>
    <n v="7329.7772687200004"/>
    <n v="851.32086140000001"/>
    <n v="1013.07182507"/>
    <x v="0"/>
  </r>
  <r>
    <x v="0"/>
    <x v="5"/>
    <x v="0"/>
    <x v="1"/>
    <x v="0"/>
    <x v="8"/>
    <n v="6760624"/>
    <n v="11262.63997599"/>
    <n v="13402.54157143"/>
    <n v="1556.64528638"/>
    <n v="1852.40789079"/>
    <x v="0"/>
  </r>
  <r>
    <x v="0"/>
    <x v="6"/>
    <x v="0"/>
    <x v="1"/>
    <x v="0"/>
    <x v="8"/>
    <n v="12103716"/>
    <n v="19038.181315670001"/>
    <n v="22655.43576565"/>
    <n v="2631.32758122"/>
    <n v="3131.2798216599999"/>
    <x v="0"/>
  </r>
  <r>
    <x v="0"/>
    <x v="2"/>
    <x v="0"/>
    <x v="1"/>
    <x v="1"/>
    <x v="1"/>
    <n v="57651"/>
    <n v="38.332758939999998"/>
    <n v="46.414216860000003"/>
    <n v="5.2907538299999999"/>
    <n v="6.4061691100000004"/>
    <x v="0"/>
  </r>
  <r>
    <x v="0"/>
    <x v="3"/>
    <x v="0"/>
    <x v="1"/>
    <x v="1"/>
    <x v="1"/>
    <n v="43592"/>
    <n v="13.11351883"/>
    <n v="15.876924499999999"/>
    <n v="1.8124611399999999"/>
    <n v="2.1944002199999999"/>
    <x v="0"/>
  </r>
  <r>
    <x v="0"/>
    <x v="2"/>
    <x v="0"/>
    <x v="1"/>
    <x v="1"/>
    <x v="6"/>
    <n v="1718585"/>
    <n v="3790.6913817"/>
    <n v="4564.0459022799996"/>
    <n v="523.48479090000001"/>
    <n v="630.28323846000001"/>
    <x v="0"/>
  </r>
  <r>
    <x v="0"/>
    <x v="3"/>
    <x v="0"/>
    <x v="1"/>
    <x v="1"/>
    <x v="6"/>
    <n v="2722557"/>
    <n v="4064.9721489499998"/>
    <n v="4894.6339508399997"/>
    <n v="561.83272735000003"/>
    <n v="676.50292332000004"/>
    <x v="0"/>
  </r>
  <r>
    <x v="0"/>
    <x v="4"/>
    <x v="0"/>
    <x v="1"/>
    <x v="1"/>
    <x v="6"/>
    <n v="2808020"/>
    <n v="3527.9138162499999"/>
    <n v="4247.9618821200002"/>
    <n v="487.60418734000001"/>
    <n v="587.12432028000001"/>
    <x v="0"/>
  </r>
  <r>
    <x v="0"/>
    <x v="5"/>
    <x v="0"/>
    <x v="1"/>
    <x v="1"/>
    <x v="6"/>
    <n v="2777185"/>
    <n v="2972.4256107699998"/>
    <n v="3579.09839913"/>
    <n v="410.828396"/>
    <n v="494.67857131"/>
    <x v="0"/>
  </r>
  <r>
    <x v="0"/>
    <x v="6"/>
    <x v="0"/>
    <x v="1"/>
    <x v="1"/>
    <x v="6"/>
    <n v="2824880"/>
    <n v="2387.5123520500001"/>
    <n v="2874.8042023899998"/>
    <n v="329.98567449000001"/>
    <n v="397.33583070999998"/>
    <x v="0"/>
  </r>
  <r>
    <x v="0"/>
    <x v="2"/>
    <x v="0"/>
    <x v="1"/>
    <x v="1"/>
    <x v="3"/>
    <n v="309629"/>
    <n v="363.03247484000002"/>
    <n v="434.48789454000001"/>
    <n v="50.125663449999998"/>
    <n v="59.991895730000003"/>
    <x v="0"/>
  </r>
  <r>
    <x v="0"/>
    <x v="3"/>
    <x v="0"/>
    <x v="1"/>
    <x v="1"/>
    <x v="3"/>
    <n v="82772"/>
    <n v="114.56022517"/>
    <n v="137.13137384000001"/>
    <n v="15.83373302"/>
    <n v="18.95336326"/>
    <x v="0"/>
  </r>
  <r>
    <x v="0"/>
    <x v="4"/>
    <x v="0"/>
    <x v="1"/>
    <x v="1"/>
    <x v="3"/>
    <n v="26475"/>
    <n v="32.868659649999998"/>
    <n v="39.344584449999999"/>
    <n v="4.5428819699999998"/>
    <n v="5.4379401300000003"/>
    <x v="0"/>
  </r>
  <r>
    <x v="0"/>
    <x v="5"/>
    <x v="0"/>
    <x v="1"/>
    <x v="1"/>
    <x v="3"/>
    <n v="7547"/>
    <n v="8.1649206599999999"/>
    <n v="9.77360848"/>
    <n v="1.12849965"/>
    <n v="1.35084151"/>
    <x v="0"/>
  </r>
  <r>
    <x v="0"/>
    <x v="6"/>
    <x v="0"/>
    <x v="1"/>
    <x v="1"/>
    <x v="3"/>
    <n v="1829"/>
    <n v="1.6709671699999999"/>
    <n v="2.0001883199999999"/>
    <n v="0.23094969000000001"/>
    <n v="0.27645238999999999"/>
    <x v="0"/>
  </r>
  <r>
    <x v="0"/>
    <x v="2"/>
    <x v="0"/>
    <x v="1"/>
    <x v="1"/>
    <x v="7"/>
    <n v="414976"/>
    <n v="1646.6617083199999"/>
    <n v="2001.4970684"/>
    <n v="227.41903873999999"/>
    <n v="276.42438262000002"/>
    <x v="0"/>
  </r>
  <r>
    <x v="0"/>
    <x v="3"/>
    <x v="0"/>
    <x v="1"/>
    <x v="1"/>
    <x v="7"/>
    <n v="837583"/>
    <n v="2226.9680126799999"/>
    <n v="2705.1151060799998"/>
    <n v="307.79633080999997"/>
    <n v="373.88256109999998"/>
    <x v="0"/>
  </r>
  <r>
    <x v="0"/>
    <x v="4"/>
    <x v="0"/>
    <x v="1"/>
    <x v="1"/>
    <x v="7"/>
    <n v="1180366"/>
    <n v="2735.9852116299999"/>
    <n v="3323.42219729"/>
    <n v="378.14921656000001"/>
    <n v="459.34075039999999"/>
    <x v="0"/>
  </r>
  <r>
    <x v="0"/>
    <x v="5"/>
    <x v="0"/>
    <x v="1"/>
    <x v="1"/>
    <x v="7"/>
    <n v="1704554"/>
    <n v="3369.43595211"/>
    <n v="4092.87966469"/>
    <n v="465.70045778000002"/>
    <n v="565.68991385000004"/>
    <x v="0"/>
  </r>
  <r>
    <x v="0"/>
    <x v="6"/>
    <x v="0"/>
    <x v="1"/>
    <x v="1"/>
    <x v="7"/>
    <n v="2235480"/>
    <n v="3446.5757976199998"/>
    <n v="4186.5820260099999"/>
    <n v="476.36220113000002"/>
    <n v="578.64081518"/>
    <x v="0"/>
  </r>
  <r>
    <x v="0"/>
    <x v="2"/>
    <x v="0"/>
    <x v="1"/>
    <x v="1"/>
    <x v="4"/>
    <n v="13158"/>
    <n v="17.502265300000001"/>
    <n v="21.164493480000001"/>
    <n v="2.4170082599999998"/>
    <n v="2.9227156500000002"/>
    <x v="0"/>
  </r>
  <r>
    <x v="0"/>
    <x v="3"/>
    <x v="0"/>
    <x v="1"/>
    <x v="1"/>
    <x v="4"/>
    <n v="9858"/>
    <n v="16.573192599999999"/>
    <n v="19.975524490000002"/>
    <n v="2.2906336500000002"/>
    <n v="2.76088076"/>
    <x v="0"/>
  </r>
  <r>
    <x v="0"/>
    <x v="4"/>
    <x v="0"/>
    <x v="1"/>
    <x v="1"/>
    <x v="4"/>
    <n v="9295"/>
    <n v="13.631508650000001"/>
    <n v="16.42993847"/>
    <n v="1.88405416"/>
    <n v="2.27083404"/>
    <x v="0"/>
  </r>
  <r>
    <x v="0"/>
    <x v="5"/>
    <x v="0"/>
    <x v="1"/>
    <x v="1"/>
    <x v="4"/>
    <n v="9941"/>
    <n v="12.410625169999999"/>
    <n v="14.958418269999999"/>
    <n v="1.7153119699999999"/>
    <n v="2.0674505600000002"/>
    <x v="0"/>
  </r>
  <r>
    <x v="0"/>
    <x v="6"/>
    <x v="0"/>
    <x v="1"/>
    <x v="1"/>
    <x v="4"/>
    <n v="7387"/>
    <n v="7.7304530800000002"/>
    <n v="9.3174476599999991"/>
    <n v="1.0684505"/>
    <n v="1.2877940699999999"/>
    <x v="0"/>
  </r>
  <r>
    <x v="0"/>
    <x v="2"/>
    <x v="0"/>
    <x v="1"/>
    <x v="1"/>
    <x v="5"/>
    <n v="129116"/>
    <n v="216.69702856999999"/>
    <n v="262.13143760000003"/>
    <n v="29.898193429999999"/>
    <n v="36.166882600000001"/>
    <x v="0"/>
  </r>
  <r>
    <x v="0"/>
    <x v="3"/>
    <x v="0"/>
    <x v="1"/>
    <x v="1"/>
    <x v="5"/>
    <n v="59904"/>
    <n v="81.346701060000001"/>
    <n v="98.400513489999994"/>
    <n v="11.24318624"/>
    <n v="13.60024788"/>
    <x v="0"/>
  </r>
  <r>
    <x v="0"/>
    <x v="4"/>
    <x v="0"/>
    <x v="1"/>
    <x v="1"/>
    <x v="5"/>
    <n v="7388"/>
    <n v="8.5308392099999999"/>
    <n v="10.319274760000001"/>
    <n v="1.1790744200000001"/>
    <n v="1.4262597800000001"/>
    <x v="0"/>
  </r>
  <r>
    <x v="0"/>
    <x v="3"/>
    <x v="0"/>
    <x v="1"/>
    <x v="1"/>
    <x v="8"/>
    <n v="42330"/>
    <n v="216.64675098000001"/>
    <n v="216.64675098000001"/>
    <n v="29.943436389999999"/>
    <n v="29.943436389999999"/>
    <x v="0"/>
  </r>
  <r>
    <x v="0"/>
    <x v="4"/>
    <x v="0"/>
    <x v="1"/>
    <x v="1"/>
    <x v="8"/>
    <n v="127965"/>
    <n v="577.46787537"/>
    <n v="577.46787537"/>
    <n v="79.813671409999998"/>
    <n v="79.813671409999998"/>
    <x v="0"/>
  </r>
  <r>
    <x v="0"/>
    <x v="5"/>
    <x v="0"/>
    <x v="1"/>
    <x v="1"/>
    <x v="8"/>
    <n v="444495"/>
    <n v="1794.9456511799999"/>
    <n v="1794.9456511799999"/>
    <n v="248.08514639000001"/>
    <n v="248.08514639000001"/>
    <x v="0"/>
  </r>
  <r>
    <x v="0"/>
    <x v="6"/>
    <x v="0"/>
    <x v="1"/>
    <x v="1"/>
    <x v="8"/>
    <n v="815251"/>
    <n v="3127.29686468"/>
    <n v="3127.29686468"/>
    <n v="432.23364450000003"/>
    <n v="432.23364450000003"/>
    <x v="0"/>
  </r>
  <r>
    <x v="0"/>
    <x v="2"/>
    <x v="0"/>
    <x v="0"/>
    <x v="0"/>
    <x v="1"/>
    <n v="198713923"/>
    <n v="9534.9386578499998"/>
    <n v="11526.01633278"/>
    <n v="1316.7824760200001"/>
    <n v="1591.75011116"/>
    <x v="0"/>
  </r>
  <r>
    <x v="0"/>
    <x v="3"/>
    <x v="0"/>
    <x v="0"/>
    <x v="0"/>
    <x v="1"/>
    <n v="198520976"/>
    <n v="9330.7498966900002"/>
    <n v="11275.82724341"/>
    <n v="1289.6326150899999"/>
    <n v="1558.46794054"/>
    <x v="0"/>
  </r>
  <r>
    <x v="0"/>
    <x v="4"/>
    <x v="0"/>
    <x v="0"/>
    <x v="0"/>
    <x v="1"/>
    <n v="200941755"/>
    <n v="8814.0818638700002"/>
    <n v="10651.455189210001"/>
    <n v="1218.22228326"/>
    <n v="1472.1714934199999"/>
    <x v="0"/>
  </r>
  <r>
    <x v="0"/>
    <x v="5"/>
    <x v="0"/>
    <x v="0"/>
    <x v="0"/>
    <x v="1"/>
    <n v="199862031"/>
    <n v="8277.2820876200003"/>
    <n v="10002.75475158"/>
    <n v="1144.0294791599999"/>
    <n v="1382.5125430600001"/>
    <x v="0"/>
  </r>
  <r>
    <x v="0"/>
    <x v="6"/>
    <x v="0"/>
    <x v="0"/>
    <x v="0"/>
    <x v="1"/>
    <n v="185744826"/>
    <n v="7263.1457074600003"/>
    <n v="8777.21267291"/>
    <n v="1003.86246509"/>
    <n v="1213.1264751399999"/>
    <x v="0"/>
  </r>
  <r>
    <x v="0"/>
    <x v="2"/>
    <x v="0"/>
    <x v="0"/>
    <x v="0"/>
    <x v="6"/>
    <n v="700114"/>
    <n v="563.08748939999998"/>
    <n v="699.73103055000001"/>
    <n v="77.742003150000002"/>
    <n v="96.606606360000001"/>
    <x v="0"/>
  </r>
  <r>
    <x v="0"/>
    <x v="3"/>
    <x v="0"/>
    <x v="0"/>
    <x v="0"/>
    <x v="6"/>
    <n v="783725"/>
    <n v="784.31590187999996"/>
    <n v="971.91384941000001"/>
    <n v="108.40279493"/>
    <n v="134.33130381999999"/>
    <x v="0"/>
  </r>
  <r>
    <x v="0"/>
    <x v="4"/>
    <x v="0"/>
    <x v="0"/>
    <x v="0"/>
    <x v="6"/>
    <n v="1130219"/>
    <n v="1012.30243605"/>
    <n v="1254.4317347599999"/>
    <n v="139.91353882000001"/>
    <n v="173.37899916999999"/>
    <x v="0"/>
  </r>
  <r>
    <x v="0"/>
    <x v="5"/>
    <x v="0"/>
    <x v="0"/>
    <x v="0"/>
    <x v="6"/>
    <n v="1612426"/>
    <n v="1236.24710555"/>
    <n v="1531.94099508"/>
    <n v="170.86564372999999"/>
    <n v="211.73443652"/>
    <x v="0"/>
  </r>
  <r>
    <x v="0"/>
    <x v="6"/>
    <x v="0"/>
    <x v="0"/>
    <x v="0"/>
    <x v="6"/>
    <n v="1747640"/>
    <n v="1457.57544345"/>
    <n v="1806.20813204"/>
    <n v="201.45613714000001"/>
    <n v="249.64176968999999"/>
    <x v="0"/>
  </r>
  <r>
    <x v="0"/>
    <x v="2"/>
    <x v="0"/>
    <x v="0"/>
    <x v="0"/>
    <x v="0"/>
    <n v="7910598"/>
    <n v="117.78684161"/>
    <n v="142.99401897000001"/>
    <n v="16.261507900000002"/>
    <n v="19.741100119999999"/>
    <x v="0"/>
  </r>
  <r>
    <x v="0"/>
    <x v="3"/>
    <x v="0"/>
    <x v="0"/>
    <x v="0"/>
    <x v="0"/>
    <n v="5744657"/>
    <n v="82.663855920000003"/>
    <n v="99.632405550000001"/>
    <n v="11.425234400000001"/>
    <n v="13.770511600000001"/>
    <x v="0"/>
  </r>
  <r>
    <x v="0"/>
    <x v="4"/>
    <x v="0"/>
    <x v="0"/>
    <x v="0"/>
    <x v="0"/>
    <n v="2054338"/>
    <n v="28.905855519999999"/>
    <n v="34.839409410000002"/>
    <n v="3.9951702099999999"/>
    <n v="4.8152655600000003"/>
    <x v="0"/>
  </r>
  <r>
    <x v="0"/>
    <x v="2"/>
    <x v="0"/>
    <x v="0"/>
    <x v="0"/>
    <x v="3"/>
    <n v="13466619"/>
    <n v="4259.1624845200004"/>
    <n v="5128.3736158000002"/>
    <n v="588.29461212000001"/>
    <n v="708.35428104000005"/>
    <x v="0"/>
  </r>
  <r>
    <x v="0"/>
    <x v="3"/>
    <x v="0"/>
    <x v="0"/>
    <x v="0"/>
    <x v="3"/>
    <n v="13320840"/>
    <n v="4703.8855604299997"/>
    <n v="5664.54408616"/>
    <n v="650.13898171000005"/>
    <n v="782.91465144999995"/>
    <x v="0"/>
  </r>
  <r>
    <x v="0"/>
    <x v="4"/>
    <x v="0"/>
    <x v="0"/>
    <x v="0"/>
    <x v="3"/>
    <n v="16531423"/>
    <n v="5032.2811255699999"/>
    <n v="6060.00675899"/>
    <n v="695.52757706"/>
    <n v="837.57280504000005"/>
    <x v="0"/>
  </r>
  <r>
    <x v="0"/>
    <x v="5"/>
    <x v="0"/>
    <x v="0"/>
    <x v="0"/>
    <x v="3"/>
    <n v="20561451"/>
    <n v="5318.2406837199997"/>
    <n v="6404.3668636800003"/>
    <n v="735.05095695"/>
    <n v="885.16791017000003"/>
    <x v="0"/>
  </r>
  <r>
    <x v="0"/>
    <x v="6"/>
    <x v="0"/>
    <x v="0"/>
    <x v="0"/>
    <x v="3"/>
    <n v="26441222"/>
    <n v="5811.0600123100003"/>
    <n v="6997.8330051100002"/>
    <n v="803.16508352000005"/>
    <n v="967.19275281"/>
    <x v="0"/>
  </r>
  <r>
    <x v="0"/>
    <x v="2"/>
    <x v="0"/>
    <x v="0"/>
    <x v="0"/>
    <x v="4"/>
    <n v="387029"/>
    <n v="108.81597589"/>
    <n v="130.59901252"/>
    <n v="15.024538590000001"/>
    <n v="18.032134719999998"/>
    <x v="0"/>
  </r>
  <r>
    <x v="0"/>
    <x v="3"/>
    <x v="0"/>
    <x v="0"/>
    <x v="0"/>
    <x v="4"/>
    <n v="629524"/>
    <n v="185.83675714"/>
    <n v="222.85625912"/>
    <n v="25.685089170000001"/>
    <n v="30.80167226"/>
    <x v="0"/>
  </r>
  <r>
    <x v="0"/>
    <x v="4"/>
    <x v="0"/>
    <x v="0"/>
    <x v="0"/>
    <x v="4"/>
    <n v="1144774"/>
    <n v="314.38760029000002"/>
    <n v="377.01499742999999"/>
    <n v="43.452509990000003"/>
    <n v="52.108441710000001"/>
    <x v="0"/>
  </r>
  <r>
    <x v="0"/>
    <x v="5"/>
    <x v="0"/>
    <x v="0"/>
    <x v="0"/>
    <x v="4"/>
    <n v="1769328"/>
    <n v="443.63182625000002"/>
    <n v="532.00524346999998"/>
    <n v="61.315765460000001"/>
    <n v="73.530136479999996"/>
    <x v="0"/>
  </r>
  <r>
    <x v="0"/>
    <x v="6"/>
    <x v="0"/>
    <x v="0"/>
    <x v="0"/>
    <x v="4"/>
    <n v="2826889"/>
    <n v="528.16567870999995"/>
    <n v="633.37861232"/>
    <n v="72.99945803"/>
    <n v="87.541272160000005"/>
    <x v="0"/>
  </r>
  <r>
    <x v="0"/>
    <x v="2"/>
    <x v="0"/>
    <x v="0"/>
    <x v="0"/>
    <x v="2"/>
    <n v="2966414"/>
    <n v="504.31723111000002"/>
    <n v="609.33077877000005"/>
    <n v="69.677677779999996"/>
    <n v="84.186737719999996"/>
    <x v="0"/>
  </r>
  <r>
    <x v="0"/>
    <x v="3"/>
    <x v="0"/>
    <x v="0"/>
    <x v="0"/>
    <x v="2"/>
    <n v="4711441"/>
    <n v="782.70354119000001"/>
    <n v="946.05659005999996"/>
    <n v="108.17994543"/>
    <n v="130.75748977999999"/>
    <x v="0"/>
  </r>
  <r>
    <x v="0"/>
    <x v="4"/>
    <x v="0"/>
    <x v="0"/>
    <x v="0"/>
    <x v="2"/>
    <n v="9853757"/>
    <n v="1420.1896111000001"/>
    <n v="1716.58829941"/>
    <n v="196.28892235999999"/>
    <n v="237.25512763"/>
    <x v="0"/>
  </r>
  <r>
    <x v="0"/>
    <x v="5"/>
    <x v="0"/>
    <x v="0"/>
    <x v="0"/>
    <x v="2"/>
    <n v="15080203"/>
    <n v="1886.33331686"/>
    <n v="2280.0178759300002"/>
    <n v="260.71612628000003"/>
    <n v="315.12852111000001"/>
    <x v="0"/>
  </r>
  <r>
    <x v="0"/>
    <x v="6"/>
    <x v="0"/>
    <x v="0"/>
    <x v="0"/>
    <x v="2"/>
    <n v="21717831"/>
    <n v="2369.57331544"/>
    <n v="2864.1118031699998"/>
    <n v="327.50626319000003"/>
    <n v="395.85800022000001"/>
    <x v="0"/>
  </r>
  <r>
    <x v="0"/>
    <x v="2"/>
    <x v="0"/>
    <x v="0"/>
    <x v="0"/>
    <x v="5"/>
    <n v="436555"/>
    <n v="197.41096995000001"/>
    <n v="240.33010082000001"/>
    <n v="27.252091480000001"/>
    <n v="33.176652670000003"/>
    <x v="0"/>
  </r>
  <r>
    <x v="0"/>
    <x v="3"/>
    <x v="0"/>
    <x v="0"/>
    <x v="0"/>
    <x v="5"/>
    <n v="109316"/>
    <n v="50.050864429999997"/>
    <n v="60.755507059999999"/>
    <n v="6.9176891300000003"/>
    <n v="8.3972118299999998"/>
    <x v="0"/>
  </r>
  <r>
    <x v="0"/>
    <x v="4"/>
    <x v="0"/>
    <x v="0"/>
    <x v="0"/>
    <x v="5"/>
    <n v="20097"/>
    <n v="8.2415785699999997"/>
    <n v="10.00424849"/>
    <n v="1.13909478"/>
    <n v="1.382719"/>
    <x v="0"/>
  </r>
  <r>
    <x v="0"/>
    <x v="2"/>
    <x v="0"/>
    <x v="0"/>
    <x v="2"/>
    <x v="1"/>
    <n v="41220482"/>
    <n v="490.66920450999999"/>
    <n v="591.36020676999999"/>
    <n v="67.756856200000001"/>
    <n v="81.661132760000001"/>
    <x v="0"/>
  </r>
  <r>
    <x v="0"/>
    <x v="3"/>
    <x v="0"/>
    <x v="0"/>
    <x v="2"/>
    <x v="1"/>
    <n v="21285620"/>
    <n v="225.96273011"/>
    <n v="272.13435040000002"/>
    <n v="31.231027489999999"/>
    <n v="37.61255396"/>
    <x v="0"/>
  </r>
  <r>
    <x v="0"/>
    <x v="4"/>
    <x v="0"/>
    <x v="0"/>
    <x v="2"/>
    <x v="1"/>
    <n v="9124152"/>
    <n v="92.518984450000005"/>
    <n v="111.42365699"/>
    <n v="12.78734305"/>
    <n v="15.400217960000001"/>
    <x v="0"/>
  </r>
  <r>
    <x v="0"/>
    <x v="5"/>
    <x v="0"/>
    <x v="0"/>
    <x v="2"/>
    <x v="1"/>
    <n v="3311144"/>
    <n v="32.070406159999997"/>
    <n v="38.623445310000001"/>
    <n v="4.4325528199999997"/>
    <n v="5.3382692"/>
    <x v="0"/>
  </r>
  <r>
    <x v="0"/>
    <x v="6"/>
    <x v="0"/>
    <x v="0"/>
    <x v="2"/>
    <x v="1"/>
    <n v="1255416"/>
    <n v="11.468595150000001"/>
    <n v="13.81200647"/>
    <n v="1.5851110100000001"/>
    <n v="1.9090013400000001"/>
    <x v="0"/>
  </r>
  <r>
    <x v="0"/>
    <x v="2"/>
    <x v="0"/>
    <x v="0"/>
    <x v="2"/>
    <x v="0"/>
    <n v="27656237"/>
    <n v="184.56865604000001"/>
    <n v="221.50176956999999"/>
    <n v="25.47776262"/>
    <n v="30.575890090000001"/>
    <x v="0"/>
  </r>
  <r>
    <x v="0"/>
    <x v="3"/>
    <x v="0"/>
    <x v="0"/>
    <x v="2"/>
    <x v="0"/>
    <n v="11825011"/>
    <n v="73.30405433"/>
    <n v="87.883240720000003"/>
    <n v="10.131586459999999"/>
    <n v="12.146622170000001"/>
    <x v="0"/>
  </r>
  <r>
    <x v="0"/>
    <x v="4"/>
    <x v="0"/>
    <x v="0"/>
    <x v="2"/>
    <x v="0"/>
    <n v="3276505"/>
    <n v="20.07035569"/>
    <n v="24.062078369999998"/>
    <n v="2.7739876799999998"/>
    <n v="3.3256963700000002"/>
    <x v="0"/>
  </r>
  <r>
    <x v="0"/>
    <x v="2"/>
    <x v="0"/>
    <x v="0"/>
    <x v="1"/>
    <x v="1"/>
    <n v="5286011"/>
    <n v="1057.62210497"/>
    <n v="1271.5820856099999"/>
    <n v="146.04699835"/>
    <n v="175.59166737999999"/>
    <x v="0"/>
  </r>
  <r>
    <x v="0"/>
    <x v="3"/>
    <x v="0"/>
    <x v="0"/>
    <x v="1"/>
    <x v="1"/>
    <n v="5367227"/>
    <n v="958.92821861000004"/>
    <n v="1150.9965587300001"/>
    <n v="132.53651848999999"/>
    <n v="159.08289456"/>
    <x v="0"/>
  </r>
  <r>
    <x v="0"/>
    <x v="4"/>
    <x v="0"/>
    <x v="0"/>
    <x v="1"/>
    <x v="1"/>
    <n v="4894410"/>
    <n v="823.07303639999998"/>
    <n v="987.93028933999994"/>
    <n v="113.75954174"/>
    <n v="136.54498692000001"/>
    <x v="0"/>
  </r>
  <r>
    <x v="0"/>
    <x v="5"/>
    <x v="0"/>
    <x v="0"/>
    <x v="1"/>
    <x v="1"/>
    <n v="4471401"/>
    <n v="699.72479168999996"/>
    <n v="839.87603207999996"/>
    <n v="96.711188590000006"/>
    <n v="116.08193721000001"/>
    <x v="0"/>
  </r>
  <r>
    <x v="0"/>
    <x v="6"/>
    <x v="0"/>
    <x v="0"/>
    <x v="1"/>
    <x v="1"/>
    <n v="4169739"/>
    <n v="607.20866306999994"/>
    <n v="728.82940355999995"/>
    <n v="83.924240249999997"/>
    <n v="100.73382955"/>
    <x v="0"/>
  </r>
  <r>
    <x v="0"/>
    <x v="2"/>
    <x v="0"/>
    <x v="0"/>
    <x v="1"/>
    <x v="6"/>
    <n v="117518"/>
    <n v="257.38735553999999"/>
    <n v="308.75483783999999"/>
    <n v="35.553852669999998"/>
    <n v="42.649459819999997"/>
    <x v="0"/>
  </r>
  <r>
    <x v="0"/>
    <x v="3"/>
    <x v="0"/>
    <x v="0"/>
    <x v="1"/>
    <x v="6"/>
    <n v="171416"/>
    <n v="339.32461667000001"/>
    <n v="407.11702496999999"/>
    <n v="46.899134330000003"/>
    <n v="56.268938660000003"/>
    <x v="0"/>
  </r>
  <r>
    <x v="0"/>
    <x v="4"/>
    <x v="0"/>
    <x v="0"/>
    <x v="1"/>
    <x v="6"/>
    <n v="261163"/>
    <n v="442.41902854"/>
    <n v="530.80828752000002"/>
    <n v="61.148140830000003"/>
    <n v="73.364701389999993"/>
    <x v="0"/>
  </r>
  <r>
    <x v="0"/>
    <x v="5"/>
    <x v="0"/>
    <x v="0"/>
    <x v="1"/>
    <x v="6"/>
    <n v="336567"/>
    <n v="502.93937513999998"/>
    <n v="603.41976999999997"/>
    <n v="69.512850389999997"/>
    <n v="83.400565290000003"/>
    <x v="0"/>
  </r>
  <r>
    <x v="0"/>
    <x v="6"/>
    <x v="0"/>
    <x v="0"/>
    <x v="1"/>
    <x v="6"/>
    <n v="534709"/>
    <n v="562.85679378999998"/>
    <n v="675.30786779000005"/>
    <n v="77.794227359999994"/>
    <n v="93.336447890000002"/>
    <x v="0"/>
  </r>
  <r>
    <x v="0"/>
    <x v="2"/>
    <x v="0"/>
    <x v="0"/>
    <x v="1"/>
    <x v="3"/>
    <n v="3491380"/>
    <n v="2338.44602695"/>
    <n v="2817.9290210499998"/>
    <n v="322.91876927999999"/>
    <n v="389.13069516000002"/>
    <x v="0"/>
  </r>
  <r>
    <x v="0"/>
    <x v="3"/>
    <x v="0"/>
    <x v="0"/>
    <x v="1"/>
    <x v="3"/>
    <n v="3448092"/>
    <n v="2556.5754517199998"/>
    <n v="3079.8067352600001"/>
    <n v="353.35242311000002"/>
    <n v="425.66988269000001"/>
    <x v="0"/>
  </r>
  <r>
    <x v="0"/>
    <x v="4"/>
    <x v="0"/>
    <x v="0"/>
    <x v="1"/>
    <x v="3"/>
    <n v="3752291"/>
    <n v="2669.8691902599999"/>
    <n v="3216.2872834099999"/>
    <n v="369.01111099000002"/>
    <n v="444.53329325999999"/>
    <x v="0"/>
  </r>
  <r>
    <x v="0"/>
    <x v="5"/>
    <x v="0"/>
    <x v="0"/>
    <x v="1"/>
    <x v="3"/>
    <n v="4205941"/>
    <n v="2754.5429539199999"/>
    <n v="3318.2904640400002"/>
    <n v="380.71414112999997"/>
    <n v="458.63147722999997"/>
    <x v="0"/>
  </r>
  <r>
    <x v="0"/>
    <x v="6"/>
    <x v="0"/>
    <x v="0"/>
    <x v="1"/>
    <x v="3"/>
    <n v="4274320"/>
    <n v="2789.9288314700002"/>
    <n v="3360.9184506000001"/>
    <n v="385.60493580000002"/>
    <n v="464.52322680999998"/>
    <x v="0"/>
  </r>
  <r>
    <x v="0"/>
    <x v="2"/>
    <x v="0"/>
    <x v="0"/>
    <x v="1"/>
    <x v="4"/>
    <n v="47305"/>
    <n v="56.245252290000003"/>
    <n v="67.8646612"/>
    <n v="7.7629855399999999"/>
    <n v="9.3666885200000003"/>
    <x v="0"/>
  </r>
  <r>
    <x v="0"/>
    <x v="3"/>
    <x v="0"/>
    <x v="0"/>
    <x v="1"/>
    <x v="4"/>
    <n v="52624"/>
    <n v="69.278448190000006"/>
    <n v="83.55833998"/>
    <n v="9.5751946300000004"/>
    <n v="11.54886389"/>
    <x v="0"/>
  </r>
  <r>
    <x v="0"/>
    <x v="4"/>
    <x v="0"/>
    <x v="0"/>
    <x v="1"/>
    <x v="4"/>
    <n v="74832"/>
    <n v="93.094279349999994"/>
    <n v="112.28316522"/>
    <n v="12.866856390000001"/>
    <n v="15.51901333"/>
    <x v="0"/>
  </r>
  <r>
    <x v="0"/>
    <x v="5"/>
    <x v="0"/>
    <x v="0"/>
    <x v="1"/>
    <x v="4"/>
    <n v="112654"/>
    <n v="131.11349299"/>
    <n v="158.13901885000001"/>
    <n v="18.121612809999998"/>
    <n v="21.856896679999998"/>
    <x v="0"/>
  </r>
  <r>
    <x v="0"/>
    <x v="6"/>
    <x v="0"/>
    <x v="0"/>
    <x v="1"/>
    <x v="4"/>
    <n v="143706"/>
    <n v="157.27833792000001"/>
    <n v="189.69704397000001"/>
    <n v="21.737939229999999"/>
    <n v="26.218631689999999"/>
    <x v="0"/>
  </r>
  <r>
    <x v="0"/>
    <x v="2"/>
    <x v="0"/>
    <x v="0"/>
    <x v="1"/>
    <x v="2"/>
    <n v="227497"/>
    <n v="46.160942390000002"/>
    <n v="55.849052090000001"/>
    <n v="6.3745068700000003"/>
    <n v="7.7123671299999996"/>
    <x v="0"/>
  </r>
  <r>
    <x v="0"/>
    <x v="3"/>
    <x v="0"/>
    <x v="0"/>
    <x v="1"/>
    <x v="2"/>
    <n v="620927"/>
    <n v="75.616642150000004"/>
    <n v="91.484584630000001"/>
    <n v="10.45121657"/>
    <n v="12.64437536"/>
    <x v="0"/>
  </r>
  <r>
    <x v="0"/>
    <x v="4"/>
    <x v="0"/>
    <x v="0"/>
    <x v="1"/>
    <x v="2"/>
    <n v="872989"/>
    <n v="100.26549692"/>
    <n v="121.30593315"/>
    <n v="13.85801317"/>
    <n v="16.76607877"/>
    <x v="0"/>
  </r>
  <r>
    <x v="0"/>
    <x v="5"/>
    <x v="0"/>
    <x v="0"/>
    <x v="1"/>
    <x v="2"/>
    <n v="1140251"/>
    <n v="116.32350685999999"/>
    <n v="140.73367191"/>
    <n v="16.077441790000002"/>
    <n v="19.451248329999999"/>
    <x v="0"/>
  </r>
  <r>
    <x v="0"/>
    <x v="6"/>
    <x v="0"/>
    <x v="0"/>
    <x v="1"/>
    <x v="2"/>
    <n v="1474521"/>
    <n v="128.78117545000001"/>
    <n v="155.80554767999999"/>
    <n v="17.799255779999999"/>
    <n v="21.534380209999998"/>
    <x v="0"/>
  </r>
  <r>
    <x v="0"/>
    <x v="2"/>
    <x v="0"/>
    <x v="0"/>
    <x v="1"/>
    <x v="5"/>
    <n v="168817"/>
    <n v="145.29496495999999"/>
    <n v="174.85402872"/>
    <n v="20.063473999999999"/>
    <n v="24.145112569999998"/>
    <x v="0"/>
  </r>
  <r>
    <x v="0"/>
    <x v="3"/>
    <x v="0"/>
    <x v="0"/>
    <x v="1"/>
    <x v="5"/>
    <n v="50008"/>
    <n v="29.428614849999999"/>
    <n v="35.370693359999997"/>
    <n v="4.0674224399999996"/>
    <n v="4.8886960100000003"/>
    <x v="0"/>
  </r>
  <r>
    <x v="0"/>
    <x v="4"/>
    <x v="0"/>
    <x v="0"/>
    <x v="1"/>
    <x v="5"/>
    <n v="7247"/>
    <n v="3.5904890699999998"/>
    <n v="4.3154626399999998"/>
    <n v="0.49625290999999999"/>
    <n v="0.5964538099999999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
  <r>
    <x v="0"/>
    <x v="0"/>
    <x v="0"/>
    <x v="0"/>
    <x v="0"/>
    <n v="10851586"/>
    <n v="167.33298884000018"/>
    <n v="203.77190082000001"/>
    <n v="23.727156549999993"/>
    <n v="28.896597610000008"/>
    <x v="0"/>
  </r>
  <r>
    <x v="0"/>
    <x v="1"/>
    <x v="0"/>
    <x v="0"/>
    <x v="0"/>
    <n v="7902595"/>
    <n v="97.727782210000001"/>
    <n v="119.55880147000001"/>
    <n v="13.59044995"/>
    <n v="16.62667845"/>
    <x v="0"/>
  </r>
  <r>
    <x v="0"/>
    <x v="0"/>
    <x v="0"/>
    <x v="1"/>
    <x v="0"/>
    <n v="23848009"/>
    <n v="119.24562974"/>
    <n v="145.68043438999999"/>
    <n v="16.812982550000001"/>
    <n v="20.543080670000002"/>
    <x v="0"/>
  </r>
  <r>
    <x v="0"/>
    <x v="1"/>
    <x v="0"/>
    <x v="1"/>
    <x v="0"/>
    <n v="14136854"/>
    <n v="87.743112109999998"/>
    <n v="107.31355978000001"/>
    <n v="12.2006072"/>
    <n v="14.92174822"/>
    <x v="0"/>
  </r>
  <r>
    <x v="0"/>
    <x v="0"/>
    <x v="0"/>
    <x v="2"/>
    <x v="0"/>
    <n v="847"/>
    <n v="0.15158940000000001"/>
    <n v="0.19109875999999998"/>
    <n v="2.182949E-2"/>
    <n v="2.7515689999999999E-2"/>
    <x v="0"/>
  </r>
  <r>
    <x v="0"/>
    <x v="1"/>
    <x v="0"/>
    <x v="2"/>
    <x v="0"/>
    <n v="357"/>
    <n v="3.5558939999999997E-2"/>
    <n v="4.6226620000000003E-2"/>
    <n v="4.9510999999999999E-3"/>
    <n v="6.4364299999999999E-3"/>
    <x v="0"/>
  </r>
  <r>
    <x v="0"/>
    <x v="0"/>
    <x v="0"/>
    <x v="0"/>
    <x v="1"/>
    <n v="198910135"/>
    <n v="10373.779940480001"/>
    <n v="12529.135763909999"/>
    <n v="1461.3340001099994"/>
    <n v="1764.9884218000009"/>
    <x v="0"/>
  </r>
  <r>
    <x v="0"/>
    <x v="1"/>
    <x v="0"/>
    <x v="0"/>
    <x v="1"/>
    <n v="1919752"/>
    <n v="191.85840109"/>
    <n v="234.99424579999999"/>
    <n v="26.688093330000001"/>
    <n v="32.687984790000002"/>
    <x v="0"/>
  </r>
  <r>
    <x v="0"/>
    <x v="1"/>
    <x v="0"/>
    <x v="0"/>
    <x v="1"/>
    <n v="209840807"/>
    <n v="9344.7804041799991"/>
    <n v="11279.9098545"/>
    <n v="1299.90955136"/>
    <n v="1569.0921930300001"/>
    <x v="0"/>
  </r>
  <r>
    <x v="0"/>
    <x v="0"/>
    <x v="0"/>
    <x v="1"/>
    <x v="1"/>
    <n v="27275134"/>
    <n v="345.88194091000003"/>
    <n v="420.07502184000015"/>
    <n v="48.85136232"/>
    <n v="59.336971480000003"/>
    <x v="0"/>
  </r>
  <r>
    <x v="0"/>
    <x v="1"/>
    <x v="0"/>
    <x v="1"/>
    <x v="1"/>
    <n v="18070080"/>
    <n v="287.08932728000002"/>
    <n v="350.41619231999999"/>
    <n v="39.898696119999997"/>
    <n v="48.699686630000002"/>
    <x v="0"/>
  </r>
  <r>
    <x v="0"/>
    <x v="0"/>
    <x v="0"/>
    <x v="2"/>
    <x v="1"/>
    <n v="4982969"/>
    <n v="1302.9349890900005"/>
    <n v="1565.3231749400006"/>
    <n v="183.90394585000001"/>
    <n v="220.95226401999992"/>
    <x v="0"/>
  </r>
  <r>
    <x v="0"/>
    <x v="1"/>
    <x v="0"/>
    <x v="2"/>
    <x v="1"/>
    <n v="3891"/>
    <n v="2.44360767"/>
    <n v="3.1683905399999999"/>
    <n v="0.33912110000000001"/>
    <n v="0.43970380999999997"/>
    <x v="0"/>
  </r>
  <r>
    <x v="0"/>
    <x v="1"/>
    <x v="0"/>
    <x v="2"/>
    <x v="1"/>
    <n v="4801672"/>
    <n v="1132.0530692"/>
    <n v="1358.3766335099999"/>
    <n v="157.43274006999999"/>
    <n v="188.90856399"/>
    <x v="0"/>
  </r>
  <r>
    <x v="0"/>
    <x v="0"/>
    <x v="0"/>
    <x v="0"/>
    <x v="2"/>
    <n v="1897145"/>
    <n v="364.32355223000002"/>
    <n v="439.45413682000003"/>
    <n v="50.981849789999998"/>
    <n v="61.496882979999988"/>
    <x v="0"/>
  </r>
  <r>
    <x v="0"/>
    <x v="1"/>
    <x v="0"/>
    <x v="0"/>
    <x v="2"/>
    <n v="2817881"/>
    <n v="465.16581987000001"/>
    <n v="560.76662873999999"/>
    <n v="64.646141110000002"/>
    <n v="77.931717399999997"/>
    <x v="0"/>
  </r>
  <r>
    <x v="0"/>
    <x v="0"/>
    <x v="0"/>
    <x v="2"/>
    <x v="2"/>
    <n v="61646"/>
    <n v="10.524213100000001"/>
    <n v="12.73429784"/>
    <n v="1.4601894"/>
    <n v="1.7668291700000001"/>
    <x v="0"/>
  </r>
  <r>
    <x v="0"/>
    <x v="1"/>
    <x v="0"/>
    <x v="2"/>
    <x v="2"/>
    <n v="90453"/>
    <n v="24.848116749999999"/>
    <n v="30.06622127"/>
    <n v="3.4555899299999999"/>
    <n v="4.1812638199999999"/>
    <x v="0"/>
  </r>
  <r>
    <x v="0"/>
    <x v="0"/>
    <x v="0"/>
    <x v="0"/>
    <x v="3"/>
    <n v="20980443"/>
    <n v="7090.8356520999996"/>
    <n v="8534.8590909600025"/>
    <n v="997.40022039000053"/>
    <n v="1200.5248686699999"/>
    <x v="0"/>
  </r>
  <r>
    <x v="0"/>
    <x v="1"/>
    <x v="0"/>
    <x v="0"/>
    <x v="3"/>
    <n v="4630580"/>
    <n v="1658.0638059299999"/>
    <n v="1998.22796651"/>
    <n v="230.63707939"/>
    <n v="277.95358618"/>
    <x v="0"/>
  </r>
  <r>
    <x v="0"/>
    <x v="1"/>
    <x v="0"/>
    <x v="0"/>
    <x v="3"/>
    <n v="15445736"/>
    <n v="4120.9612069900004"/>
    <n v="4952.4074215399996"/>
    <n v="573.15329742999995"/>
    <n v="688.79264333000003"/>
    <x v="0"/>
  </r>
  <r>
    <x v="0"/>
    <x v="0"/>
    <x v="0"/>
    <x v="2"/>
    <x v="3"/>
    <n v="3787127"/>
    <n v="3412.6584527500022"/>
    <n v="4103.2615314699988"/>
    <n v="480.87203936999975"/>
    <n v="578.18737236999993"/>
    <x v="0"/>
  </r>
  <r>
    <x v="0"/>
    <x v="1"/>
    <x v="0"/>
    <x v="2"/>
    <x v="3"/>
    <n v="625926"/>
    <n v="1088.1881405300001"/>
    <n v="1311.59773451"/>
    <n v="151.22880305000001"/>
    <n v="182.27687177000001"/>
    <x v="0"/>
  </r>
  <r>
    <x v="0"/>
    <x v="1"/>
    <x v="0"/>
    <x v="2"/>
    <x v="3"/>
    <n v="3323722"/>
    <n v="2290.4330850400002"/>
    <n v="2753.5583144799998"/>
    <n v="318.50974456"/>
    <n v="382.91294833000001"/>
    <x v="0"/>
  </r>
  <r>
    <x v="0"/>
    <x v="0"/>
    <x v="0"/>
    <x v="0"/>
    <x v="4"/>
    <n v="6024430"/>
    <n v="3184.336248789999"/>
    <n v="3834.4437910400015"/>
    <n v="449.1657759900001"/>
    <n v="540.84958739000001"/>
    <x v="0"/>
  </r>
  <r>
    <x v="0"/>
    <x v="1"/>
    <x v="0"/>
    <x v="0"/>
    <x v="4"/>
    <n v="4615698"/>
    <n v="2871.2716264000001"/>
    <n v="3462.8395477499998"/>
    <n v="399.40397459000002"/>
    <n v="481.69464820000002"/>
    <x v="0"/>
  </r>
  <r>
    <x v="0"/>
    <x v="1"/>
    <x v="0"/>
    <x v="0"/>
    <x v="4"/>
    <n v="247725"/>
    <n v="82.128408230000005"/>
    <n v="98.282134319999997"/>
    <n v="11.42716414"/>
    <n v="13.67472237"/>
    <x v="0"/>
  </r>
  <r>
    <x v="0"/>
    <x v="0"/>
    <x v="0"/>
    <x v="2"/>
    <x v="4"/>
    <n v="39144"/>
    <n v="65.401761040000011"/>
    <n v="79.80886636999999"/>
    <n v="9.2175091300000034"/>
    <n v="11.248387089999998"/>
    <x v="0"/>
  </r>
  <r>
    <x v="0"/>
    <x v="1"/>
    <x v="0"/>
    <x v="2"/>
    <x v="4"/>
    <n v="16610"/>
    <n v="19.379328940000001"/>
    <n v="23.989103119999999"/>
    <n v="2.69356697"/>
    <n v="3.3342859800000002"/>
    <x v="0"/>
  </r>
  <r>
    <x v="0"/>
    <x v="1"/>
    <x v="0"/>
    <x v="2"/>
    <x v="4"/>
    <n v="20945"/>
    <n v="28.961128689999999"/>
    <n v="34.815328000000001"/>
    <n v="4.0234032500000003"/>
    <n v="4.8366542600000004"/>
    <x v="0"/>
  </r>
  <r>
    <x v="0"/>
    <x v="0"/>
    <x v="0"/>
    <x v="0"/>
    <x v="5"/>
    <n v="703783"/>
    <n v="504.03405780999987"/>
    <n v="614.21027369999979"/>
    <n v="71.286872159999973"/>
    <n v="86.871817000000021"/>
    <x v="0"/>
  </r>
  <r>
    <x v="0"/>
    <x v="1"/>
    <x v="0"/>
    <x v="0"/>
    <x v="5"/>
    <n v="200041"/>
    <n v="106.60450016"/>
    <n v="132.85091369"/>
    <n v="14.83868391"/>
    <n v="18.492082719999999"/>
    <x v="0"/>
  </r>
  <r>
    <x v="0"/>
    <x v="1"/>
    <x v="0"/>
    <x v="0"/>
    <x v="5"/>
    <n v="384606"/>
    <n v="216.66717496000001"/>
    <n v="262.50546575999999"/>
    <n v="30.13179388"/>
    <n v="36.507001000000002"/>
    <x v="0"/>
  </r>
  <r>
    <x v="0"/>
    <x v="0"/>
    <x v="0"/>
    <x v="2"/>
    <x v="5"/>
    <n v="638744"/>
    <n v="993.7052711299998"/>
    <n v="1193.8107527700004"/>
    <n v="140.17591903000005"/>
    <n v="168.39904706999999"/>
    <x v="0"/>
  </r>
  <r>
    <x v="0"/>
    <x v="1"/>
    <x v="0"/>
    <x v="2"/>
    <x v="5"/>
    <n v="260147"/>
    <n v="376.23126228000001"/>
    <n v="453.33051224000002"/>
    <n v="52.292131419999997"/>
    <n v="63.008983579999999"/>
    <x v="0"/>
  </r>
  <r>
    <x v="0"/>
    <x v="1"/>
    <x v="0"/>
    <x v="2"/>
    <x v="5"/>
    <n v="210650"/>
    <n v="265.60959635"/>
    <n v="318.03731837999999"/>
    <n v="36.940647980000001"/>
    <n v="44.232303700000003"/>
    <x v="0"/>
  </r>
  <r>
    <x v="0"/>
    <x v="0"/>
    <x v="0"/>
    <x v="0"/>
    <x v="6"/>
    <n v="4572324"/>
    <n v="5567.446134689998"/>
    <n v="6692.9086341599977"/>
    <n v="786.38231229999997"/>
    <n v="945.32944435999957"/>
    <x v="0"/>
  </r>
  <r>
    <x v="0"/>
    <x v="1"/>
    <x v="0"/>
    <x v="0"/>
    <x v="6"/>
    <n v="4557553"/>
    <n v="4846.2009444699997"/>
    <n v="5819.3303416700001"/>
    <n v="673.89599426999996"/>
    <n v="809.21792029000005"/>
    <x v="0"/>
  </r>
  <r>
    <x v="0"/>
    <x v="1"/>
    <x v="0"/>
    <x v="0"/>
    <x v="6"/>
    <n v="445552"/>
    <n v="426.31286030000001"/>
    <n v="522.72550387000001"/>
    <n v="59.301796029999998"/>
    <n v="72.713742980000006"/>
    <x v="0"/>
  </r>
  <r>
    <x v="0"/>
    <x v="0"/>
    <x v="0"/>
    <x v="2"/>
    <x v="6"/>
    <n v="1007689"/>
    <n v="2578.76611839"/>
    <n v="3105.2553325599984"/>
    <n v="364.76591257000001"/>
    <n v="439.23904582"/>
    <x v="0"/>
  </r>
  <r>
    <x v="0"/>
    <x v="1"/>
    <x v="0"/>
    <x v="2"/>
    <x v="6"/>
    <n v="1060841"/>
    <n v="3687.57309433"/>
    <n v="4448.4202409299996"/>
    <n v="512.37770470999999"/>
    <n v="618.09470836000003"/>
    <x v="0"/>
  </r>
  <r>
    <x v="0"/>
    <x v="1"/>
    <x v="0"/>
    <x v="2"/>
    <x v="6"/>
    <n v="75281"/>
    <n v="293.93672509999999"/>
    <n v="352.73415287"/>
    <n v="40.899211340000001"/>
    <n v="49.080640019999997"/>
    <x v="0"/>
  </r>
  <r>
    <x v="0"/>
    <x v="0"/>
    <x v="0"/>
    <x v="0"/>
    <x v="7"/>
    <n v="2350004"/>
    <n v="2644.5431698299994"/>
    <n v="3133.5831084599999"/>
    <n v="371.39148761000001"/>
    <n v="440.06727454999998"/>
    <x v="0"/>
  </r>
  <r>
    <x v="0"/>
    <x v="1"/>
    <x v="0"/>
    <x v="0"/>
    <x v="7"/>
    <n v="6366228"/>
    <n v="5808.0059737299998"/>
    <n v="6917.4466709300004"/>
    <n v="807.93960721999997"/>
    <n v="962.26526028000001"/>
    <x v="0"/>
  </r>
  <r>
    <x v="0"/>
    <x v="0"/>
    <x v="0"/>
    <x v="2"/>
    <x v="7"/>
    <n v="137210"/>
    <n v="680.28417735000005"/>
    <n v="824.42614239"/>
    <n v="95.326445539999995"/>
    <n v="115.52887224"/>
    <x v="0"/>
  </r>
  <r>
    <x v="0"/>
    <x v="1"/>
    <x v="0"/>
    <x v="2"/>
    <x v="7"/>
    <n v="263043"/>
    <n v="1904.94145757"/>
    <n v="2307.27366454"/>
    <n v="264.48490268"/>
    <n v="320.34811065999997"/>
    <x v="0"/>
  </r>
  <r>
    <x v="0"/>
    <x v="1"/>
    <x v="0"/>
    <x v="2"/>
    <x v="7"/>
    <n v="4"/>
    <n v="3.4017609999999997E-2"/>
    <n v="4.0480960000000003E-2"/>
    <n v="4.7302500000000001E-3"/>
    <n v="5.6290000000000003E-3"/>
    <x v="0"/>
  </r>
  <r>
    <x v="0"/>
    <x v="2"/>
    <x v="0"/>
    <x v="0"/>
    <x v="1"/>
    <n v="2892323"/>
    <n v="229.61707956999999"/>
    <n v="278.24914324999997"/>
    <n v="31.712700000000002"/>
    <n v="38.429405019999997"/>
    <x v="0"/>
  </r>
  <r>
    <x v="0"/>
    <x v="3"/>
    <x v="0"/>
    <x v="0"/>
    <x v="1"/>
    <n v="3738266"/>
    <n v="258.68640054999997"/>
    <n v="313.62788160000002"/>
    <n v="35.753870050000003"/>
    <n v="43.347506860000003"/>
    <x v="0"/>
  </r>
  <r>
    <x v="0"/>
    <x v="4"/>
    <x v="0"/>
    <x v="0"/>
    <x v="1"/>
    <n v="4559880"/>
    <n v="284.48996602"/>
    <n v="344.91177420999998"/>
    <n v="39.320262880000001"/>
    <n v="47.671353140000001"/>
    <x v="0"/>
  </r>
  <r>
    <x v="0"/>
    <x v="5"/>
    <x v="0"/>
    <x v="0"/>
    <x v="1"/>
    <n v="3958370"/>
    <n v="235.62889461"/>
    <n v="285.67327428999999"/>
    <n v="32.567018830000002"/>
    <n v="39.483811680000002"/>
    <x v="0"/>
  </r>
  <r>
    <x v="0"/>
    <x v="6"/>
    <x v="0"/>
    <x v="0"/>
    <x v="1"/>
    <n v="2685488"/>
    <n v="143.23367909000001"/>
    <n v="173.65456881"/>
    <n v="19.796782270000001"/>
    <n v="24.001350179999999"/>
    <x v="0"/>
  </r>
  <r>
    <x v="0"/>
    <x v="2"/>
    <x v="0"/>
    <x v="0"/>
    <x v="6"/>
    <n v="4787606"/>
    <n v="4924.8866470800003"/>
    <n v="5918.9466391799997"/>
    <n v="679.98684923999997"/>
    <n v="817.23803252000005"/>
    <x v="0"/>
  </r>
  <r>
    <x v="0"/>
    <x v="3"/>
    <x v="0"/>
    <x v="0"/>
    <x v="6"/>
    <n v="5505101"/>
    <n v="5359.5139827599996"/>
    <n v="6440.7467815"/>
    <n v="740.75547085999995"/>
    <n v="890.19609430000003"/>
    <x v="0"/>
  </r>
  <r>
    <x v="0"/>
    <x v="4"/>
    <x v="0"/>
    <x v="0"/>
    <x v="6"/>
    <n v="5890601"/>
    <n v="5035.5339763700003"/>
    <n v="6051.4067797500002"/>
    <n v="695.97716391999995"/>
    <n v="836.38417456000002"/>
    <x v="0"/>
  </r>
  <r>
    <x v="0"/>
    <x v="5"/>
    <x v="0"/>
    <x v="0"/>
    <x v="6"/>
    <n v="6596059"/>
    <n v="4907.6716669400003"/>
    <n v="5897.7494219"/>
    <n v="678.30490753000004"/>
    <n v="815.14670249999995"/>
    <x v="0"/>
  </r>
  <r>
    <x v="0"/>
    <x v="6"/>
    <x v="0"/>
    <x v="0"/>
    <x v="6"/>
    <n v="7769969"/>
    <n v="4664.1608623700004"/>
    <n v="5605.1125455299998"/>
    <n v="644.64850486"/>
    <n v="774.70042923000005"/>
    <x v="0"/>
  </r>
  <r>
    <x v="0"/>
    <x v="2"/>
    <x v="0"/>
    <x v="0"/>
    <x v="3"/>
    <n v="3558585"/>
    <n v="1292.6253645100001"/>
    <n v="1557.35223965"/>
    <n v="178.45751095"/>
    <n v="215.00532577999999"/>
    <x v="0"/>
  </r>
  <r>
    <x v="0"/>
    <x v="3"/>
    <x v="0"/>
    <x v="0"/>
    <x v="3"/>
    <n v="2408998"/>
    <n v="752.24897527999997"/>
    <n v="906.43669209999996"/>
    <n v="103.97072303"/>
    <n v="125.28149768999999"/>
    <x v="0"/>
  </r>
  <r>
    <x v="0"/>
    <x v="4"/>
    <x v="0"/>
    <x v="0"/>
    <x v="3"/>
    <n v="889051"/>
    <n v="239.83683088000001"/>
    <n v="288.99594518999999"/>
    <n v="33.148611080000002"/>
    <n v="39.943048589999997"/>
    <x v="0"/>
  </r>
  <r>
    <x v="0"/>
    <x v="5"/>
    <x v="0"/>
    <x v="0"/>
    <x v="3"/>
    <n v="302325"/>
    <n v="68.434013899999997"/>
    <n v="82.460864990000005"/>
    <n v="9.4584826799999995"/>
    <n v="11.39717838"/>
    <x v="0"/>
  </r>
  <r>
    <x v="0"/>
    <x v="6"/>
    <x v="0"/>
    <x v="0"/>
    <x v="3"/>
    <n v="93576"/>
    <n v="18.085495739999999"/>
    <n v="21.792461639999999"/>
    <n v="2.4996538799999999"/>
    <n v="3.0120054199999999"/>
    <x v="0"/>
  </r>
  <r>
    <x v="0"/>
    <x v="2"/>
    <x v="0"/>
    <x v="0"/>
    <x v="7"/>
    <n v="17824033"/>
    <n v="15451.639381249999"/>
    <n v="18430.981526790001"/>
    <n v="2134.4751565000001"/>
    <n v="2546.0400670099998"/>
    <x v="0"/>
  </r>
  <r>
    <x v="0"/>
    <x v="3"/>
    <x v="0"/>
    <x v="0"/>
    <x v="7"/>
    <n v="24124907"/>
    <n v="20386.824860500001"/>
    <n v="24321.001833189999"/>
    <n v="2817.7278942500002"/>
    <n v="3361.4830043699999"/>
    <x v="0"/>
  </r>
  <r>
    <x v="0"/>
    <x v="4"/>
    <x v="0"/>
    <x v="0"/>
    <x v="7"/>
    <n v="31360209"/>
    <n v="25309.467549770001"/>
    <n v="30193.598605319999"/>
    <n v="3498.1019943800002"/>
    <n v="4173.1532791500003"/>
    <x v="0"/>
  </r>
  <r>
    <x v="0"/>
    <x v="5"/>
    <x v="0"/>
    <x v="0"/>
    <x v="7"/>
    <n v="37762688"/>
    <n v="28616.303500450002"/>
    <n v="34138.575999740002"/>
    <n v="3955.1503069"/>
    <n v="4718.4011498999998"/>
    <x v="0"/>
  </r>
  <r>
    <x v="0"/>
    <x v="6"/>
    <x v="0"/>
    <x v="0"/>
    <x v="7"/>
    <n v="38672623"/>
    <n v="30169.709157329999"/>
    <n v="35991.752356880002"/>
    <n v="4169.8514425800004"/>
    <n v="4974.5345473400002"/>
    <x v="0"/>
  </r>
  <r>
    <x v="0"/>
    <x v="2"/>
    <x v="0"/>
    <x v="0"/>
    <x v="4"/>
    <n v="4704603"/>
    <n v="2591.5192491600001"/>
    <n v="3124.5477995000001"/>
    <n v="357.78562518000001"/>
    <n v="431.37523127999998"/>
    <x v="0"/>
  </r>
  <r>
    <x v="0"/>
    <x v="3"/>
    <x v="0"/>
    <x v="0"/>
    <x v="4"/>
    <n v="4865167"/>
    <n v="2743.2286327299998"/>
    <n v="3306.5249153"/>
    <n v="379.15035282000002"/>
    <n v="457.00532332"/>
    <x v="0"/>
  </r>
  <r>
    <x v="0"/>
    <x v="4"/>
    <x v="0"/>
    <x v="0"/>
    <x v="4"/>
    <n v="4947053"/>
    <n v="2549.32504995"/>
    <n v="3072.8050495900002"/>
    <n v="352.35032202999997"/>
    <n v="424.70215745000002"/>
    <x v="0"/>
  </r>
  <r>
    <x v="0"/>
    <x v="5"/>
    <x v="0"/>
    <x v="0"/>
    <x v="4"/>
    <n v="4382988"/>
    <n v="2059.9790120399998"/>
    <n v="2482.9763903100002"/>
    <n v="284.71625001000001"/>
    <n v="343.18006279000002"/>
    <x v="0"/>
  </r>
  <r>
    <x v="0"/>
    <x v="6"/>
    <x v="0"/>
    <x v="0"/>
    <x v="4"/>
    <n v="3941240"/>
    <n v="1589.9967670399999"/>
    <n v="1916.48769728"/>
    <n v="219.75850937999999"/>
    <n v="264.88385908999999"/>
    <x v="0"/>
  </r>
  <r>
    <x v="0"/>
    <x v="2"/>
    <x v="0"/>
    <x v="0"/>
    <x v="5"/>
    <n v="156721"/>
    <n v="72.098440060000001"/>
    <n v="90.12755559"/>
    <n v="9.9514660399999997"/>
    <n v="12.439826070000001"/>
    <x v="0"/>
  </r>
  <r>
    <x v="0"/>
    <x v="3"/>
    <x v="0"/>
    <x v="0"/>
    <x v="5"/>
    <n v="83959"/>
    <n v="32.257669419999999"/>
    <n v="40.191727010000001"/>
    <n v="4.4584350700000002"/>
    <n v="5.5550264"/>
    <x v="0"/>
  </r>
  <r>
    <x v="0"/>
    <x v="4"/>
    <x v="0"/>
    <x v="0"/>
    <x v="5"/>
    <n v="14907"/>
    <n v="4.6982017999999997"/>
    <n v="5.8537658700000001"/>
    <n v="0.64935341000000002"/>
    <n v="0.8090676"/>
    <x v="0"/>
  </r>
  <r>
    <x v="0"/>
    <x v="2"/>
    <x v="0"/>
    <x v="0"/>
    <x v="8"/>
    <n v="34157"/>
    <n v="95.125322589999996"/>
    <n v="113.19913389"/>
    <n v="13.14066553"/>
    <n v="15.637391969999999"/>
    <x v="0"/>
  </r>
  <r>
    <x v="0"/>
    <x v="3"/>
    <x v="0"/>
    <x v="0"/>
    <x v="8"/>
    <n v="974264"/>
    <n v="2003.6378556699999"/>
    <n v="2384.3290482399998"/>
    <n v="276.92915962000001"/>
    <n v="329.54569995000003"/>
    <x v="0"/>
  </r>
  <r>
    <x v="0"/>
    <x v="4"/>
    <x v="0"/>
    <x v="0"/>
    <x v="8"/>
    <n v="3385552"/>
    <n v="6159.4766964099999"/>
    <n v="7329.7772687200004"/>
    <n v="851.32086140000001"/>
    <n v="1013.07182507"/>
    <x v="0"/>
  </r>
  <r>
    <x v="0"/>
    <x v="5"/>
    <x v="0"/>
    <x v="0"/>
    <x v="8"/>
    <n v="6760624"/>
    <n v="11262.63997599"/>
    <n v="13402.54157143"/>
    <n v="1556.64528638"/>
    <n v="1852.40789079"/>
    <x v="0"/>
  </r>
  <r>
    <x v="0"/>
    <x v="6"/>
    <x v="0"/>
    <x v="0"/>
    <x v="8"/>
    <n v="12103716"/>
    <n v="19038.181315670001"/>
    <n v="22655.43576565"/>
    <n v="2631.32758122"/>
    <n v="3131.2798216599999"/>
    <x v="0"/>
  </r>
  <r>
    <x v="0"/>
    <x v="2"/>
    <x v="0"/>
    <x v="2"/>
    <x v="1"/>
    <n v="57651"/>
    <n v="38.332758939999998"/>
    <n v="46.414216860000003"/>
    <n v="5.2907538299999999"/>
    <n v="6.4061691100000004"/>
    <x v="0"/>
  </r>
  <r>
    <x v="0"/>
    <x v="3"/>
    <x v="0"/>
    <x v="2"/>
    <x v="1"/>
    <n v="43592"/>
    <n v="13.11351883"/>
    <n v="15.876924499999999"/>
    <n v="1.8124611399999999"/>
    <n v="2.1944002199999999"/>
    <x v="0"/>
  </r>
  <r>
    <x v="0"/>
    <x v="2"/>
    <x v="0"/>
    <x v="2"/>
    <x v="6"/>
    <n v="1718585"/>
    <n v="3790.6913817"/>
    <n v="4564.0459022799996"/>
    <n v="523.48479090000001"/>
    <n v="630.28323846000001"/>
    <x v="0"/>
  </r>
  <r>
    <x v="0"/>
    <x v="3"/>
    <x v="0"/>
    <x v="2"/>
    <x v="6"/>
    <n v="2722557"/>
    <n v="4064.9721489499998"/>
    <n v="4894.6339508399997"/>
    <n v="561.83272735000003"/>
    <n v="676.50292332000004"/>
    <x v="0"/>
  </r>
  <r>
    <x v="0"/>
    <x v="4"/>
    <x v="0"/>
    <x v="2"/>
    <x v="6"/>
    <n v="2808020"/>
    <n v="3527.9138162499999"/>
    <n v="4247.9618821200002"/>
    <n v="487.60418734000001"/>
    <n v="587.12432028000001"/>
    <x v="0"/>
  </r>
  <r>
    <x v="0"/>
    <x v="5"/>
    <x v="0"/>
    <x v="2"/>
    <x v="6"/>
    <n v="2777185"/>
    <n v="2972.4256107699998"/>
    <n v="3579.09839913"/>
    <n v="410.828396"/>
    <n v="494.67857131"/>
    <x v="0"/>
  </r>
  <r>
    <x v="0"/>
    <x v="6"/>
    <x v="0"/>
    <x v="2"/>
    <x v="6"/>
    <n v="2824880"/>
    <n v="2387.5123520500001"/>
    <n v="2874.8042023899998"/>
    <n v="329.98567449000001"/>
    <n v="397.33583070999998"/>
    <x v="0"/>
  </r>
  <r>
    <x v="0"/>
    <x v="2"/>
    <x v="0"/>
    <x v="2"/>
    <x v="3"/>
    <n v="309629"/>
    <n v="363.03247484000002"/>
    <n v="434.48789454000001"/>
    <n v="50.125663449999998"/>
    <n v="59.991895730000003"/>
    <x v="0"/>
  </r>
  <r>
    <x v="0"/>
    <x v="3"/>
    <x v="0"/>
    <x v="2"/>
    <x v="3"/>
    <n v="82772"/>
    <n v="114.56022517"/>
    <n v="137.13137384000001"/>
    <n v="15.83373302"/>
    <n v="18.95336326"/>
    <x v="0"/>
  </r>
  <r>
    <x v="0"/>
    <x v="4"/>
    <x v="0"/>
    <x v="2"/>
    <x v="3"/>
    <n v="26475"/>
    <n v="32.868659649999998"/>
    <n v="39.344584449999999"/>
    <n v="4.5428819699999998"/>
    <n v="5.4379401300000003"/>
    <x v="0"/>
  </r>
  <r>
    <x v="0"/>
    <x v="5"/>
    <x v="0"/>
    <x v="2"/>
    <x v="3"/>
    <n v="7547"/>
    <n v="8.1649206599999999"/>
    <n v="9.77360848"/>
    <n v="1.12849965"/>
    <n v="1.35084151"/>
    <x v="0"/>
  </r>
  <r>
    <x v="0"/>
    <x v="6"/>
    <x v="0"/>
    <x v="2"/>
    <x v="3"/>
    <n v="1829"/>
    <n v="1.6709671699999999"/>
    <n v="2.0001883199999999"/>
    <n v="0.23094969000000001"/>
    <n v="0.27645238999999999"/>
    <x v="0"/>
  </r>
  <r>
    <x v="0"/>
    <x v="2"/>
    <x v="0"/>
    <x v="2"/>
    <x v="7"/>
    <n v="414976"/>
    <n v="1646.6617083199999"/>
    <n v="2001.4970684"/>
    <n v="227.41903873999999"/>
    <n v="276.42438262000002"/>
    <x v="0"/>
  </r>
  <r>
    <x v="0"/>
    <x v="3"/>
    <x v="0"/>
    <x v="2"/>
    <x v="7"/>
    <n v="837583"/>
    <n v="2226.9680126799999"/>
    <n v="2705.1151060799998"/>
    <n v="307.79633080999997"/>
    <n v="373.88256109999998"/>
    <x v="0"/>
  </r>
  <r>
    <x v="0"/>
    <x v="4"/>
    <x v="0"/>
    <x v="2"/>
    <x v="7"/>
    <n v="1180366"/>
    <n v="2735.9852116299999"/>
    <n v="3323.42219729"/>
    <n v="378.14921656000001"/>
    <n v="459.34075039999999"/>
    <x v="0"/>
  </r>
  <r>
    <x v="0"/>
    <x v="5"/>
    <x v="0"/>
    <x v="2"/>
    <x v="7"/>
    <n v="1704554"/>
    <n v="3369.43595211"/>
    <n v="4092.87966469"/>
    <n v="465.70045778000002"/>
    <n v="565.68991385000004"/>
    <x v="0"/>
  </r>
  <r>
    <x v="0"/>
    <x v="6"/>
    <x v="0"/>
    <x v="2"/>
    <x v="7"/>
    <n v="2235480"/>
    <n v="3446.5757976199998"/>
    <n v="4186.5820260099999"/>
    <n v="476.36220113000002"/>
    <n v="578.64081518"/>
    <x v="0"/>
  </r>
  <r>
    <x v="0"/>
    <x v="2"/>
    <x v="0"/>
    <x v="2"/>
    <x v="4"/>
    <n v="13158"/>
    <n v="17.502265300000001"/>
    <n v="21.164493480000001"/>
    <n v="2.4170082599999998"/>
    <n v="2.9227156500000002"/>
    <x v="0"/>
  </r>
  <r>
    <x v="0"/>
    <x v="3"/>
    <x v="0"/>
    <x v="2"/>
    <x v="4"/>
    <n v="9858"/>
    <n v="16.573192599999999"/>
    <n v="19.975524490000002"/>
    <n v="2.2906336500000002"/>
    <n v="2.76088076"/>
    <x v="0"/>
  </r>
  <r>
    <x v="0"/>
    <x v="4"/>
    <x v="0"/>
    <x v="2"/>
    <x v="4"/>
    <n v="9295"/>
    <n v="13.631508650000001"/>
    <n v="16.42993847"/>
    <n v="1.88405416"/>
    <n v="2.27083404"/>
    <x v="0"/>
  </r>
  <r>
    <x v="0"/>
    <x v="5"/>
    <x v="0"/>
    <x v="2"/>
    <x v="4"/>
    <n v="9941"/>
    <n v="12.410625169999999"/>
    <n v="14.958418269999999"/>
    <n v="1.7153119699999999"/>
    <n v="2.0674505600000002"/>
    <x v="0"/>
  </r>
  <r>
    <x v="0"/>
    <x v="6"/>
    <x v="0"/>
    <x v="2"/>
    <x v="4"/>
    <n v="7387"/>
    <n v="7.7304530800000002"/>
    <n v="9.3174476599999991"/>
    <n v="1.0684505"/>
    <n v="1.2877940699999999"/>
    <x v="0"/>
  </r>
  <r>
    <x v="0"/>
    <x v="2"/>
    <x v="0"/>
    <x v="2"/>
    <x v="5"/>
    <n v="129116"/>
    <n v="216.69702856999999"/>
    <n v="262.13143760000003"/>
    <n v="29.898193429999999"/>
    <n v="36.166882600000001"/>
    <x v="0"/>
  </r>
  <r>
    <x v="0"/>
    <x v="3"/>
    <x v="0"/>
    <x v="2"/>
    <x v="5"/>
    <n v="59904"/>
    <n v="81.346701060000001"/>
    <n v="98.400513489999994"/>
    <n v="11.24318624"/>
    <n v="13.60024788"/>
    <x v="0"/>
  </r>
  <r>
    <x v="0"/>
    <x v="4"/>
    <x v="0"/>
    <x v="2"/>
    <x v="5"/>
    <n v="7388"/>
    <n v="8.5308392099999999"/>
    <n v="10.319274760000001"/>
    <n v="1.1790744200000001"/>
    <n v="1.4262597800000001"/>
    <x v="0"/>
  </r>
  <r>
    <x v="0"/>
    <x v="3"/>
    <x v="0"/>
    <x v="2"/>
    <x v="8"/>
    <n v="42330"/>
    <n v="216.64675098000001"/>
    <n v="216.64675098000001"/>
    <n v="29.943436389999999"/>
    <n v="29.943436389999999"/>
    <x v="0"/>
  </r>
  <r>
    <x v="0"/>
    <x v="4"/>
    <x v="0"/>
    <x v="2"/>
    <x v="8"/>
    <n v="127965"/>
    <n v="577.46787537"/>
    <n v="577.46787537"/>
    <n v="79.813671409999998"/>
    <n v="79.813671409999998"/>
    <x v="0"/>
  </r>
  <r>
    <x v="0"/>
    <x v="5"/>
    <x v="0"/>
    <x v="2"/>
    <x v="8"/>
    <n v="444495"/>
    <n v="1794.9456511799999"/>
    <n v="1794.9456511799999"/>
    <n v="248.08514639000001"/>
    <n v="248.08514639000001"/>
    <x v="0"/>
  </r>
  <r>
    <x v="0"/>
    <x v="6"/>
    <x v="0"/>
    <x v="2"/>
    <x v="8"/>
    <n v="815251"/>
    <n v="3127.29686468"/>
    <n v="3127.29686468"/>
    <n v="432.23364450000003"/>
    <n v="432.23364450000003"/>
    <x v="0"/>
  </r>
  <r>
    <x v="0"/>
    <x v="2"/>
    <x v="0"/>
    <x v="0"/>
    <x v="1"/>
    <n v="198713923"/>
    <n v="9534.9386578499998"/>
    <n v="11526.01633278"/>
    <n v="1316.7824760200001"/>
    <n v="1591.75011116"/>
    <x v="0"/>
  </r>
  <r>
    <x v="0"/>
    <x v="3"/>
    <x v="0"/>
    <x v="0"/>
    <x v="1"/>
    <n v="198520976"/>
    <n v="9330.7498966900002"/>
    <n v="11275.82724341"/>
    <n v="1289.6326150899999"/>
    <n v="1558.46794054"/>
    <x v="0"/>
  </r>
  <r>
    <x v="0"/>
    <x v="4"/>
    <x v="0"/>
    <x v="0"/>
    <x v="1"/>
    <n v="200941755"/>
    <n v="8814.0818638700002"/>
    <n v="10651.455189210001"/>
    <n v="1218.22228326"/>
    <n v="1472.1714934199999"/>
    <x v="0"/>
  </r>
  <r>
    <x v="0"/>
    <x v="5"/>
    <x v="0"/>
    <x v="0"/>
    <x v="1"/>
    <n v="199862031"/>
    <n v="8277.2820876200003"/>
    <n v="10002.75475158"/>
    <n v="1144.0294791599999"/>
    <n v="1382.5125430600001"/>
    <x v="0"/>
  </r>
  <r>
    <x v="0"/>
    <x v="6"/>
    <x v="0"/>
    <x v="0"/>
    <x v="1"/>
    <n v="185744826"/>
    <n v="7263.1457074600003"/>
    <n v="8777.21267291"/>
    <n v="1003.86246509"/>
    <n v="1213.1264751399999"/>
    <x v="0"/>
  </r>
  <r>
    <x v="0"/>
    <x v="2"/>
    <x v="0"/>
    <x v="0"/>
    <x v="6"/>
    <n v="700114"/>
    <n v="563.08748939999998"/>
    <n v="699.73103055000001"/>
    <n v="77.742003150000002"/>
    <n v="96.606606360000001"/>
    <x v="0"/>
  </r>
  <r>
    <x v="0"/>
    <x v="3"/>
    <x v="0"/>
    <x v="0"/>
    <x v="6"/>
    <n v="783725"/>
    <n v="784.31590187999996"/>
    <n v="971.91384941000001"/>
    <n v="108.40279493"/>
    <n v="134.33130381999999"/>
    <x v="0"/>
  </r>
  <r>
    <x v="0"/>
    <x v="4"/>
    <x v="0"/>
    <x v="0"/>
    <x v="6"/>
    <n v="1130219"/>
    <n v="1012.30243605"/>
    <n v="1254.4317347599999"/>
    <n v="139.91353882000001"/>
    <n v="173.37899916999999"/>
    <x v="0"/>
  </r>
  <r>
    <x v="0"/>
    <x v="5"/>
    <x v="0"/>
    <x v="0"/>
    <x v="6"/>
    <n v="1612426"/>
    <n v="1236.24710555"/>
    <n v="1531.94099508"/>
    <n v="170.86564372999999"/>
    <n v="211.73443652"/>
    <x v="0"/>
  </r>
  <r>
    <x v="0"/>
    <x v="6"/>
    <x v="0"/>
    <x v="0"/>
    <x v="6"/>
    <n v="1747640"/>
    <n v="1457.57544345"/>
    <n v="1806.20813204"/>
    <n v="201.45613714000001"/>
    <n v="249.64176968999999"/>
    <x v="0"/>
  </r>
  <r>
    <x v="0"/>
    <x v="2"/>
    <x v="0"/>
    <x v="0"/>
    <x v="0"/>
    <n v="7910598"/>
    <n v="117.78684161"/>
    <n v="142.99401897000001"/>
    <n v="16.261507900000002"/>
    <n v="19.741100119999999"/>
    <x v="0"/>
  </r>
  <r>
    <x v="0"/>
    <x v="3"/>
    <x v="0"/>
    <x v="0"/>
    <x v="0"/>
    <n v="5744657"/>
    <n v="82.663855920000003"/>
    <n v="99.632405550000001"/>
    <n v="11.425234400000001"/>
    <n v="13.770511600000001"/>
    <x v="0"/>
  </r>
  <r>
    <x v="0"/>
    <x v="4"/>
    <x v="0"/>
    <x v="0"/>
    <x v="0"/>
    <n v="2054338"/>
    <n v="28.905855519999999"/>
    <n v="34.839409410000002"/>
    <n v="3.9951702099999999"/>
    <n v="4.8152655600000003"/>
    <x v="0"/>
  </r>
  <r>
    <x v="0"/>
    <x v="2"/>
    <x v="0"/>
    <x v="0"/>
    <x v="3"/>
    <n v="13466619"/>
    <n v="4259.1624845200004"/>
    <n v="5128.3736158000002"/>
    <n v="588.29461212000001"/>
    <n v="708.35428104000005"/>
    <x v="0"/>
  </r>
  <r>
    <x v="0"/>
    <x v="3"/>
    <x v="0"/>
    <x v="0"/>
    <x v="3"/>
    <n v="13320840"/>
    <n v="4703.8855604299997"/>
    <n v="5664.54408616"/>
    <n v="650.13898171000005"/>
    <n v="782.91465144999995"/>
    <x v="0"/>
  </r>
  <r>
    <x v="0"/>
    <x v="4"/>
    <x v="0"/>
    <x v="0"/>
    <x v="3"/>
    <n v="16531423"/>
    <n v="5032.2811255699999"/>
    <n v="6060.00675899"/>
    <n v="695.52757706"/>
    <n v="837.57280504000005"/>
    <x v="0"/>
  </r>
  <r>
    <x v="0"/>
    <x v="5"/>
    <x v="0"/>
    <x v="0"/>
    <x v="3"/>
    <n v="20561451"/>
    <n v="5318.2406837199997"/>
    <n v="6404.3668636800003"/>
    <n v="735.05095695"/>
    <n v="885.16791017000003"/>
    <x v="0"/>
  </r>
  <r>
    <x v="0"/>
    <x v="6"/>
    <x v="0"/>
    <x v="0"/>
    <x v="3"/>
    <n v="26441222"/>
    <n v="5811.0600123100003"/>
    <n v="6997.8330051100002"/>
    <n v="803.16508352000005"/>
    <n v="967.19275281"/>
    <x v="0"/>
  </r>
  <r>
    <x v="0"/>
    <x v="2"/>
    <x v="0"/>
    <x v="0"/>
    <x v="4"/>
    <n v="387029"/>
    <n v="108.81597589"/>
    <n v="130.59901252"/>
    <n v="15.024538590000001"/>
    <n v="18.032134719999998"/>
    <x v="0"/>
  </r>
  <r>
    <x v="0"/>
    <x v="3"/>
    <x v="0"/>
    <x v="0"/>
    <x v="4"/>
    <n v="629524"/>
    <n v="185.83675714"/>
    <n v="222.85625912"/>
    <n v="25.685089170000001"/>
    <n v="30.80167226"/>
    <x v="0"/>
  </r>
  <r>
    <x v="0"/>
    <x v="4"/>
    <x v="0"/>
    <x v="0"/>
    <x v="4"/>
    <n v="1144774"/>
    <n v="314.38760029000002"/>
    <n v="377.01499742999999"/>
    <n v="43.452509990000003"/>
    <n v="52.108441710000001"/>
    <x v="0"/>
  </r>
  <r>
    <x v="0"/>
    <x v="5"/>
    <x v="0"/>
    <x v="0"/>
    <x v="4"/>
    <n v="1769328"/>
    <n v="443.63182625000002"/>
    <n v="532.00524346999998"/>
    <n v="61.315765460000001"/>
    <n v="73.530136479999996"/>
    <x v="0"/>
  </r>
  <r>
    <x v="0"/>
    <x v="6"/>
    <x v="0"/>
    <x v="0"/>
    <x v="4"/>
    <n v="2826889"/>
    <n v="528.16567870999995"/>
    <n v="633.37861232"/>
    <n v="72.99945803"/>
    <n v="87.541272160000005"/>
    <x v="0"/>
  </r>
  <r>
    <x v="0"/>
    <x v="2"/>
    <x v="0"/>
    <x v="0"/>
    <x v="2"/>
    <n v="2966414"/>
    <n v="504.31723111000002"/>
    <n v="609.33077877000005"/>
    <n v="69.677677779999996"/>
    <n v="84.186737719999996"/>
    <x v="0"/>
  </r>
  <r>
    <x v="0"/>
    <x v="3"/>
    <x v="0"/>
    <x v="0"/>
    <x v="2"/>
    <n v="4711441"/>
    <n v="782.70354119000001"/>
    <n v="946.05659005999996"/>
    <n v="108.17994543"/>
    <n v="130.75748977999999"/>
    <x v="0"/>
  </r>
  <r>
    <x v="0"/>
    <x v="4"/>
    <x v="0"/>
    <x v="0"/>
    <x v="2"/>
    <n v="9853757"/>
    <n v="1420.1896111000001"/>
    <n v="1716.58829941"/>
    <n v="196.28892235999999"/>
    <n v="237.25512763"/>
    <x v="0"/>
  </r>
  <r>
    <x v="0"/>
    <x v="5"/>
    <x v="0"/>
    <x v="0"/>
    <x v="2"/>
    <n v="15080203"/>
    <n v="1886.33331686"/>
    <n v="2280.0178759300002"/>
    <n v="260.71612628000003"/>
    <n v="315.12852111000001"/>
    <x v="0"/>
  </r>
  <r>
    <x v="0"/>
    <x v="6"/>
    <x v="0"/>
    <x v="0"/>
    <x v="2"/>
    <n v="21717831"/>
    <n v="2369.57331544"/>
    <n v="2864.1118031699998"/>
    <n v="327.50626319000003"/>
    <n v="395.85800022000001"/>
    <x v="0"/>
  </r>
  <r>
    <x v="0"/>
    <x v="2"/>
    <x v="0"/>
    <x v="0"/>
    <x v="5"/>
    <n v="436555"/>
    <n v="197.41096995000001"/>
    <n v="240.33010082000001"/>
    <n v="27.252091480000001"/>
    <n v="33.176652670000003"/>
    <x v="0"/>
  </r>
  <r>
    <x v="0"/>
    <x v="3"/>
    <x v="0"/>
    <x v="0"/>
    <x v="5"/>
    <n v="109316"/>
    <n v="50.050864429999997"/>
    <n v="60.755507059999999"/>
    <n v="6.9176891300000003"/>
    <n v="8.3972118299999998"/>
    <x v="0"/>
  </r>
  <r>
    <x v="0"/>
    <x v="4"/>
    <x v="0"/>
    <x v="0"/>
    <x v="5"/>
    <n v="20097"/>
    <n v="8.2415785699999997"/>
    <n v="10.00424849"/>
    <n v="1.13909478"/>
    <n v="1.382719"/>
    <x v="0"/>
  </r>
  <r>
    <x v="0"/>
    <x v="2"/>
    <x v="0"/>
    <x v="1"/>
    <x v="1"/>
    <n v="41220482"/>
    <n v="490.66920450999999"/>
    <n v="591.36020676999999"/>
    <n v="67.756856200000001"/>
    <n v="81.661132760000001"/>
    <x v="0"/>
  </r>
  <r>
    <x v="0"/>
    <x v="3"/>
    <x v="0"/>
    <x v="1"/>
    <x v="1"/>
    <n v="21285620"/>
    <n v="225.96273011"/>
    <n v="272.13435040000002"/>
    <n v="31.231027489999999"/>
    <n v="37.61255396"/>
    <x v="0"/>
  </r>
  <r>
    <x v="0"/>
    <x v="4"/>
    <x v="0"/>
    <x v="1"/>
    <x v="1"/>
    <n v="9124152"/>
    <n v="92.518984450000005"/>
    <n v="111.42365699"/>
    <n v="12.78734305"/>
    <n v="15.400217960000001"/>
    <x v="0"/>
  </r>
  <r>
    <x v="0"/>
    <x v="5"/>
    <x v="0"/>
    <x v="1"/>
    <x v="1"/>
    <n v="3311144"/>
    <n v="32.070406159999997"/>
    <n v="38.623445310000001"/>
    <n v="4.4325528199999997"/>
    <n v="5.3382692"/>
    <x v="0"/>
  </r>
  <r>
    <x v="0"/>
    <x v="6"/>
    <x v="0"/>
    <x v="1"/>
    <x v="1"/>
    <n v="1255416"/>
    <n v="11.468595150000001"/>
    <n v="13.81200647"/>
    <n v="1.5851110100000001"/>
    <n v="1.9090013400000001"/>
    <x v="0"/>
  </r>
  <r>
    <x v="0"/>
    <x v="2"/>
    <x v="0"/>
    <x v="1"/>
    <x v="0"/>
    <n v="27656237"/>
    <n v="184.56865604000001"/>
    <n v="221.50176956999999"/>
    <n v="25.47776262"/>
    <n v="30.575890090000001"/>
    <x v="0"/>
  </r>
  <r>
    <x v="0"/>
    <x v="3"/>
    <x v="0"/>
    <x v="1"/>
    <x v="0"/>
    <n v="11825011"/>
    <n v="73.30405433"/>
    <n v="87.883240720000003"/>
    <n v="10.131586459999999"/>
    <n v="12.146622170000001"/>
    <x v="0"/>
  </r>
  <r>
    <x v="0"/>
    <x v="4"/>
    <x v="0"/>
    <x v="1"/>
    <x v="0"/>
    <n v="3276505"/>
    <n v="20.07035569"/>
    <n v="24.062078369999998"/>
    <n v="2.7739876799999998"/>
    <n v="3.3256963700000002"/>
    <x v="0"/>
  </r>
  <r>
    <x v="0"/>
    <x v="2"/>
    <x v="0"/>
    <x v="2"/>
    <x v="1"/>
    <n v="5286011"/>
    <n v="1057.62210497"/>
    <n v="1271.5820856099999"/>
    <n v="146.04699835"/>
    <n v="175.59166737999999"/>
    <x v="0"/>
  </r>
  <r>
    <x v="0"/>
    <x v="3"/>
    <x v="0"/>
    <x v="2"/>
    <x v="1"/>
    <n v="5367227"/>
    <n v="958.92821861000004"/>
    <n v="1150.9965587300001"/>
    <n v="132.53651848999999"/>
    <n v="159.08289456"/>
    <x v="0"/>
  </r>
  <r>
    <x v="0"/>
    <x v="4"/>
    <x v="0"/>
    <x v="2"/>
    <x v="1"/>
    <n v="4894410"/>
    <n v="823.07303639999998"/>
    <n v="987.93028933999994"/>
    <n v="113.75954174"/>
    <n v="136.54498692000001"/>
    <x v="0"/>
  </r>
  <r>
    <x v="0"/>
    <x v="5"/>
    <x v="0"/>
    <x v="2"/>
    <x v="1"/>
    <n v="4471401"/>
    <n v="699.72479168999996"/>
    <n v="839.87603207999996"/>
    <n v="96.711188590000006"/>
    <n v="116.08193721000001"/>
    <x v="0"/>
  </r>
  <r>
    <x v="0"/>
    <x v="6"/>
    <x v="0"/>
    <x v="2"/>
    <x v="1"/>
    <n v="4169739"/>
    <n v="607.20866306999994"/>
    <n v="728.82940355999995"/>
    <n v="83.924240249999997"/>
    <n v="100.73382955"/>
    <x v="0"/>
  </r>
  <r>
    <x v="0"/>
    <x v="2"/>
    <x v="0"/>
    <x v="2"/>
    <x v="6"/>
    <n v="117518"/>
    <n v="257.38735553999999"/>
    <n v="308.75483783999999"/>
    <n v="35.553852669999998"/>
    <n v="42.649459819999997"/>
    <x v="0"/>
  </r>
  <r>
    <x v="0"/>
    <x v="3"/>
    <x v="0"/>
    <x v="2"/>
    <x v="6"/>
    <n v="171416"/>
    <n v="339.32461667000001"/>
    <n v="407.11702496999999"/>
    <n v="46.899134330000003"/>
    <n v="56.268938660000003"/>
    <x v="0"/>
  </r>
  <r>
    <x v="0"/>
    <x v="4"/>
    <x v="0"/>
    <x v="2"/>
    <x v="6"/>
    <n v="261163"/>
    <n v="442.41902854"/>
    <n v="530.80828752000002"/>
    <n v="61.148140830000003"/>
    <n v="73.364701389999993"/>
    <x v="0"/>
  </r>
  <r>
    <x v="0"/>
    <x v="5"/>
    <x v="0"/>
    <x v="2"/>
    <x v="6"/>
    <n v="336567"/>
    <n v="502.93937513999998"/>
    <n v="603.41976999999997"/>
    <n v="69.512850389999997"/>
    <n v="83.400565290000003"/>
    <x v="0"/>
  </r>
  <r>
    <x v="0"/>
    <x v="6"/>
    <x v="0"/>
    <x v="2"/>
    <x v="6"/>
    <n v="534709"/>
    <n v="562.85679378999998"/>
    <n v="675.30786779000005"/>
    <n v="77.794227359999994"/>
    <n v="93.336447890000002"/>
    <x v="0"/>
  </r>
  <r>
    <x v="0"/>
    <x v="2"/>
    <x v="0"/>
    <x v="2"/>
    <x v="3"/>
    <n v="3491380"/>
    <n v="2338.44602695"/>
    <n v="2817.9290210499998"/>
    <n v="322.91876927999999"/>
    <n v="389.13069516000002"/>
    <x v="0"/>
  </r>
  <r>
    <x v="0"/>
    <x v="3"/>
    <x v="0"/>
    <x v="2"/>
    <x v="3"/>
    <n v="3448092"/>
    <n v="2556.5754517199998"/>
    <n v="3079.8067352600001"/>
    <n v="353.35242311000002"/>
    <n v="425.66988269000001"/>
    <x v="0"/>
  </r>
  <r>
    <x v="0"/>
    <x v="4"/>
    <x v="0"/>
    <x v="2"/>
    <x v="3"/>
    <n v="3752291"/>
    <n v="2669.8691902599999"/>
    <n v="3216.2872834099999"/>
    <n v="369.01111099000002"/>
    <n v="444.53329325999999"/>
    <x v="0"/>
  </r>
  <r>
    <x v="0"/>
    <x v="5"/>
    <x v="0"/>
    <x v="2"/>
    <x v="3"/>
    <n v="4205941"/>
    <n v="2754.5429539199999"/>
    <n v="3318.2904640400002"/>
    <n v="380.71414112999997"/>
    <n v="458.63147722999997"/>
    <x v="0"/>
  </r>
  <r>
    <x v="0"/>
    <x v="6"/>
    <x v="0"/>
    <x v="2"/>
    <x v="3"/>
    <n v="4274320"/>
    <n v="2789.9288314700002"/>
    <n v="3360.9184506000001"/>
    <n v="385.60493580000002"/>
    <n v="464.52322680999998"/>
    <x v="0"/>
  </r>
  <r>
    <x v="0"/>
    <x v="2"/>
    <x v="0"/>
    <x v="2"/>
    <x v="4"/>
    <n v="47305"/>
    <n v="56.245252290000003"/>
    <n v="67.8646612"/>
    <n v="7.7629855399999999"/>
    <n v="9.3666885200000003"/>
    <x v="0"/>
  </r>
  <r>
    <x v="0"/>
    <x v="3"/>
    <x v="0"/>
    <x v="2"/>
    <x v="4"/>
    <n v="52624"/>
    <n v="69.278448190000006"/>
    <n v="83.55833998"/>
    <n v="9.5751946300000004"/>
    <n v="11.54886389"/>
    <x v="0"/>
  </r>
  <r>
    <x v="0"/>
    <x v="4"/>
    <x v="0"/>
    <x v="2"/>
    <x v="4"/>
    <n v="74832"/>
    <n v="93.094279349999994"/>
    <n v="112.28316522"/>
    <n v="12.866856390000001"/>
    <n v="15.51901333"/>
    <x v="0"/>
  </r>
  <r>
    <x v="0"/>
    <x v="5"/>
    <x v="0"/>
    <x v="2"/>
    <x v="4"/>
    <n v="112654"/>
    <n v="131.11349299"/>
    <n v="158.13901885000001"/>
    <n v="18.121612809999998"/>
    <n v="21.856896679999998"/>
    <x v="0"/>
  </r>
  <r>
    <x v="0"/>
    <x v="6"/>
    <x v="0"/>
    <x v="2"/>
    <x v="4"/>
    <n v="143706"/>
    <n v="157.27833792000001"/>
    <n v="189.69704397000001"/>
    <n v="21.737939229999999"/>
    <n v="26.218631689999999"/>
    <x v="0"/>
  </r>
  <r>
    <x v="0"/>
    <x v="2"/>
    <x v="0"/>
    <x v="2"/>
    <x v="2"/>
    <n v="227497"/>
    <n v="46.160942390000002"/>
    <n v="55.849052090000001"/>
    <n v="6.3745068700000003"/>
    <n v="7.7123671299999996"/>
    <x v="0"/>
  </r>
  <r>
    <x v="0"/>
    <x v="3"/>
    <x v="0"/>
    <x v="2"/>
    <x v="2"/>
    <n v="620927"/>
    <n v="75.616642150000004"/>
    <n v="91.484584630000001"/>
    <n v="10.45121657"/>
    <n v="12.64437536"/>
    <x v="0"/>
  </r>
  <r>
    <x v="0"/>
    <x v="4"/>
    <x v="0"/>
    <x v="2"/>
    <x v="2"/>
    <n v="872989"/>
    <n v="100.26549692"/>
    <n v="121.30593315"/>
    <n v="13.85801317"/>
    <n v="16.76607877"/>
    <x v="0"/>
  </r>
  <r>
    <x v="0"/>
    <x v="5"/>
    <x v="0"/>
    <x v="2"/>
    <x v="2"/>
    <n v="1140251"/>
    <n v="116.32350685999999"/>
    <n v="140.73367191"/>
    <n v="16.077441790000002"/>
    <n v="19.451248329999999"/>
    <x v="0"/>
  </r>
  <r>
    <x v="0"/>
    <x v="6"/>
    <x v="0"/>
    <x v="2"/>
    <x v="2"/>
    <n v="1474521"/>
    <n v="128.78117545000001"/>
    <n v="155.80554767999999"/>
    <n v="17.799255779999999"/>
    <n v="21.534380209999998"/>
    <x v="0"/>
  </r>
  <r>
    <x v="0"/>
    <x v="2"/>
    <x v="0"/>
    <x v="2"/>
    <x v="5"/>
    <n v="168817"/>
    <n v="145.29496495999999"/>
    <n v="174.85402872"/>
    <n v="20.063473999999999"/>
    <n v="24.145112569999998"/>
    <x v="0"/>
  </r>
  <r>
    <x v="0"/>
    <x v="3"/>
    <x v="0"/>
    <x v="2"/>
    <x v="5"/>
    <n v="50008"/>
    <n v="29.428614849999999"/>
    <n v="35.370693359999997"/>
    <n v="4.0674224399999996"/>
    <n v="4.8886960100000003"/>
    <x v="0"/>
  </r>
  <r>
    <x v="0"/>
    <x v="4"/>
    <x v="0"/>
    <x v="2"/>
    <x v="5"/>
    <n v="7247"/>
    <n v="3.5904890699999998"/>
    <n v="4.3154626399999998"/>
    <n v="0.49625290999999999"/>
    <n v="0.59645380999999997"/>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n v="310.30221125164746"/>
    <n v="42.839525324274113"/>
    <x v="0"/>
  </r>
  <r>
    <x v="0"/>
    <x v="1"/>
    <x v="0"/>
    <n v="363.45602554329048"/>
    <n v="50.177804237091614"/>
    <x v="0"/>
  </r>
  <r>
    <x v="0"/>
    <x v="2"/>
    <x v="0"/>
    <n v="417.88719358358929"/>
    <n v="57.692431323655178"/>
    <x v="0"/>
  </r>
  <r>
    <x v="0"/>
    <x v="3"/>
    <x v="0"/>
    <n v="510.0799898117769"/>
    <n v="70.420331691500579"/>
    <x v="0"/>
  </r>
  <r>
    <x v="0"/>
    <x v="4"/>
    <x v="0"/>
    <n v="636.96088595941194"/>
    <n v="87.93718193165287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9354C6-7590-47F2-8A07-EBBE052A9AD1}" name="PivotTable1" cacheId="2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J44" firstHeaderRow="1" firstDataRow="2" firstDataCol="2" rowPageCount="3" colPageCount="1"/>
  <pivotFields count="11">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axis="axisRow" compact="0" outline="0" showAll="0" defaultSubtotal="0">
      <items count="3">
        <item x="0"/>
        <item x="1"/>
        <item x="2"/>
      </items>
    </pivotField>
    <pivotField axis="axisRow" compact="0" outline="0" subtotalTop="0" showAll="0" defaultSubtotal="0">
      <items count="9">
        <item x="0"/>
        <item x="1"/>
        <item x="2"/>
        <item x="3"/>
        <item x="4"/>
        <item x="5"/>
        <item x="6"/>
        <item x="7"/>
        <item x="8"/>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2">
    <field x="3"/>
    <field x="4"/>
  </rowFields>
  <rowItems count="21">
    <i>
      <x/>
      <x/>
    </i>
    <i r="1">
      <x v="1"/>
    </i>
    <i r="1">
      <x v="2"/>
    </i>
    <i r="1">
      <x v="3"/>
    </i>
    <i r="1">
      <x v="4"/>
    </i>
    <i r="1">
      <x v="5"/>
    </i>
    <i r="1">
      <x v="6"/>
    </i>
    <i r="1">
      <x v="7"/>
    </i>
    <i r="1">
      <x v="8"/>
    </i>
    <i>
      <x v="1"/>
      <x/>
    </i>
    <i r="1">
      <x v="1"/>
    </i>
    <i>
      <x v="2"/>
      <x/>
    </i>
    <i r="1">
      <x v="1"/>
    </i>
    <i r="1">
      <x v="2"/>
    </i>
    <i r="1">
      <x v="3"/>
    </i>
    <i r="1">
      <x v="4"/>
    </i>
    <i r="1">
      <x v="5"/>
    </i>
    <i r="1">
      <x v="6"/>
    </i>
    <i r="1">
      <x v="7"/>
    </i>
    <i r="1">
      <x v="8"/>
    </i>
    <i t="grand">
      <x/>
    </i>
  </rowItems>
  <colFields count="1">
    <field x="1"/>
  </colFields>
  <colItems count="7">
    <i>
      <x/>
    </i>
    <i>
      <x v="1"/>
    </i>
    <i>
      <x v="2"/>
    </i>
    <i>
      <x v="3"/>
    </i>
    <i>
      <x v="4"/>
    </i>
    <i>
      <x v="5"/>
    </i>
    <i>
      <x v="6"/>
    </i>
  </colItems>
  <pageFields count="3">
    <pageField fld="0" item="0" hier="-1"/>
    <pageField fld="2" item="0" hier="-1"/>
    <pageField fld="10" item="0" hier="-1"/>
  </pageFields>
  <dataFields count="1">
    <dataField name="Sum of Vendor Revenue (CNY M)" fld="6" baseField="0" baseItem="0"/>
  </dataFields>
  <formats count="22">
    <format dxfId="56">
      <pivotArea outline="0" collapsedLevelsAreSubtotals="1"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type="topRight" dataOnly="0" labelOnly="1" outline="0" fieldPosition="0"/>
    </format>
    <format dxfId="51">
      <pivotArea field="3" type="button" dataOnly="0" labelOnly="1" outline="0" axis="axisRow" fieldPosition="0"/>
    </format>
    <format dxfId="50">
      <pivotArea dataOnly="0" labelOnly="1" outline="0" fieldPosition="0">
        <references count="1">
          <reference field="3" count="0"/>
        </references>
      </pivotArea>
    </format>
    <format dxfId="49">
      <pivotArea dataOnly="0" labelOnly="1" grandRow="1" outline="0"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type="topRight" dataOnly="0" labelOnly="1" outline="0" fieldPosition="0"/>
    </format>
    <format dxfId="44">
      <pivotArea field="3" type="button" dataOnly="0" labelOnly="1" outline="0" axis="axisRow" fieldPosition="0"/>
    </format>
    <format dxfId="43">
      <pivotArea dataOnly="0" labelOnly="1" outline="0" fieldPosition="0">
        <references count="1">
          <reference field="3" count="0"/>
        </references>
      </pivotArea>
    </format>
    <format dxfId="42">
      <pivotArea dataOnly="0" labelOnly="1" grandRow="1" outline="0" fieldPosition="0"/>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type="topRight" dataOnly="0" labelOnly="1" outline="0" fieldPosition="0"/>
    </format>
    <format dxfId="37">
      <pivotArea field="3" type="button" dataOnly="0" labelOnly="1" outline="0" axis="axisRow" fieldPosition="0"/>
    </format>
    <format dxfId="36">
      <pivotArea dataOnly="0" labelOnly="1" outline="0" fieldPosition="0">
        <references count="1">
          <reference field="3" count="0"/>
        </references>
      </pivotArea>
    </format>
    <format dxfId="35">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A7067-E789-4493-9EB0-8BB5A49977A3}" name="PivotTable2" cacheId="11"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K57" firstHeaderRow="1" firstDataRow="2" firstDataCol="3" rowPageCount="3" colPageCount="1"/>
  <pivotFields count="12">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axis="axisRow" compact="0" outline="0" subtotalTop="0" showAll="0">
      <items count="3">
        <item x="1"/>
        <item x="0"/>
        <item t="default"/>
      </items>
    </pivotField>
    <pivotField axis="axisRow" compact="0" outline="0" subtotalTop="0" showAll="0" defaultSubtotal="0">
      <items count="3">
        <item x="0"/>
        <item x="1"/>
        <item x="2"/>
      </items>
    </pivotField>
    <pivotField axis="axisRow" compact="0" outline="0" subtotalTop="0" showAll="0" defaultSubtotal="0">
      <items count="9">
        <item x="0"/>
        <item x="1"/>
        <item x="2"/>
        <item x="3"/>
        <item x="4"/>
        <item x="5"/>
        <item x="6"/>
        <item x="7"/>
        <item x="8"/>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3">
    <field x="3"/>
    <field x="4"/>
    <field x="5"/>
  </rowFields>
  <rowItems count="34">
    <i>
      <x/>
      <x/>
      <x v="1"/>
    </i>
    <i r="2">
      <x v="3"/>
    </i>
    <i r="2">
      <x v="4"/>
    </i>
    <i r="2">
      <x v="5"/>
    </i>
    <i r="2">
      <x v="6"/>
    </i>
    <i r="2">
      <x v="7"/>
    </i>
    <i r="2">
      <x v="8"/>
    </i>
    <i r="1">
      <x v="1"/>
      <x v="1"/>
    </i>
    <i r="2">
      <x v="3"/>
    </i>
    <i r="2">
      <x v="4"/>
    </i>
    <i r="2">
      <x v="5"/>
    </i>
    <i r="2">
      <x v="6"/>
    </i>
    <i r="2">
      <x v="7"/>
    </i>
    <i r="2">
      <x v="8"/>
    </i>
    <i t="default">
      <x/>
    </i>
    <i>
      <x v="1"/>
      <x/>
      <x/>
    </i>
    <i r="2">
      <x v="1"/>
    </i>
    <i r="2">
      <x v="2"/>
    </i>
    <i r="2">
      <x v="3"/>
    </i>
    <i r="2">
      <x v="4"/>
    </i>
    <i r="2">
      <x v="5"/>
    </i>
    <i r="2">
      <x v="6"/>
    </i>
    <i r="1">
      <x v="1"/>
      <x/>
    </i>
    <i r="2">
      <x v="1"/>
    </i>
    <i r="2">
      <x v="2"/>
    </i>
    <i r="2">
      <x v="3"/>
    </i>
    <i r="2">
      <x v="4"/>
    </i>
    <i r="2">
      <x v="5"/>
    </i>
    <i r="2">
      <x v="6"/>
    </i>
    <i r="2">
      <x v="7"/>
    </i>
    <i r="1">
      <x v="2"/>
      <x/>
    </i>
    <i r="2">
      <x v="1"/>
    </i>
    <i t="default">
      <x v="1"/>
    </i>
    <i t="grand">
      <x/>
    </i>
  </rowItems>
  <colFields count="1">
    <field x="1"/>
  </colFields>
  <colItems count="7">
    <i>
      <x/>
    </i>
    <i>
      <x v="1"/>
    </i>
    <i>
      <x v="2"/>
    </i>
    <i>
      <x v="3"/>
    </i>
    <i>
      <x v="4"/>
    </i>
    <i>
      <x v="5"/>
    </i>
    <i>
      <x v="6"/>
    </i>
  </colItems>
  <pageFields count="3">
    <pageField fld="0" item="0" hier="-1"/>
    <pageField fld="2" item="0" hier="-1"/>
    <pageField fld="11" item="0" hier="-1"/>
  </pageFields>
  <dataFields count="1">
    <dataField name="Sum of Vendor Revenue (CNY M)" fld="7" baseField="0" baseItem="0"/>
  </dataFields>
  <formats count="19">
    <format dxfId="34">
      <pivotArea outline="0" collapsedLevelsAreSubtotals="1"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type="topRight" dataOnly="0" labelOnly="1" outline="0" fieldPosition="0"/>
    </format>
    <format dxfId="29">
      <pivotArea dataOnly="0" labelOnly="1" grandRow="1" outline="0"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type="topRight" dataOnly="0" labelOnly="1" outline="0" fieldPosition="0"/>
    </format>
    <format dxfId="24">
      <pivotArea dataOnly="0" labelOnly="1" grandRow="1" outline="0"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type="topRight" dataOnly="0" labelOnly="1" outline="0" fieldPosition="0"/>
    </format>
    <format dxfId="19">
      <pivotArea dataOnly="0" labelOnly="1" grandRow="1" outline="0" fieldPosition="0"/>
    </format>
    <format dxfId="18">
      <pivotArea dataOnly="0" labelOnly="1" outline="0" fieldPosition="0">
        <references count="2">
          <reference field="3" count="1" selected="0">
            <x v="0"/>
          </reference>
          <reference field="4" count="2">
            <x v="0"/>
            <x v="1"/>
          </reference>
        </references>
      </pivotArea>
    </format>
    <format dxfId="17">
      <pivotArea dataOnly="0" labelOnly="1" outline="0" fieldPosition="0">
        <references count="2">
          <reference field="3" count="1" selected="0">
            <x v="1"/>
          </reference>
          <reference field="4" count="2">
            <x v="0"/>
            <x v="1"/>
          </reference>
        </references>
      </pivotArea>
    </format>
    <format dxfId="16">
      <pivotArea dataOnly="0" labelOnly="1" outline="0" fieldPosition="0">
        <references count="2">
          <reference field="3" count="1" selected="0">
            <x v="1"/>
          </reference>
          <reference field="4" count="1">
            <x v="2"/>
          </reference>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CCA4D9-A29B-4807-93EF-3C740E298887}" name="PivotTable1" cacheId="41"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1:G24" firstHeaderRow="1" firstDataRow="2" firstDataCol="1" rowPageCount="2" colPageCount="1"/>
  <pivotFields count="6">
    <pivotField axis="axisPage" compact="0" outline="0" showAll="0" defaultSubtotal="0">
      <items count="1">
        <item x="0"/>
      </items>
    </pivotField>
    <pivotField axis="axisCol" compact="0" outline="0" multipleItemSelectionAllowed="1" showAll="0" sortType="ascending" defaultSubtotal="0">
      <items count="5">
        <item x="0"/>
        <item x="1"/>
        <item x="2"/>
        <item x="3"/>
        <item x="4"/>
      </items>
    </pivotField>
    <pivotField axis="axisRow" compact="0" outline="0" showAll="0" defaultSubtotal="0">
      <items count="1">
        <item x="0"/>
      </items>
    </pivotField>
    <pivotField dataField="1" compact="0" outline="0" subtotalTop="0" showAll="0" defaultSubtotal="0"/>
    <pivotField compact="0" outline="0" subtotalTop="0" showAll="0" defaultSubtotal="0"/>
    <pivotField axis="axisPage" compact="0" outline="0" subtotalTop="0" showAll="0" defaultSubtotal="0">
      <items count="1">
        <item x="0"/>
      </items>
    </pivotField>
  </pivotFields>
  <rowFields count="1">
    <field x="2"/>
  </rowFields>
  <rowItems count="2">
    <i>
      <x/>
    </i>
    <i t="grand">
      <x/>
    </i>
  </rowItems>
  <colFields count="1">
    <field x="1"/>
  </colFields>
  <colItems count="5">
    <i>
      <x/>
    </i>
    <i>
      <x v="1"/>
    </i>
    <i>
      <x v="2"/>
    </i>
    <i>
      <x v="3"/>
    </i>
    <i>
      <x v="4"/>
    </i>
  </colItems>
  <pageFields count="2">
    <pageField fld="0" item="0" hier="-1"/>
    <pageField fld="5" hier="-1"/>
  </pageFields>
  <dataFields count="1">
    <dataField name="Sum of Vendor Revenue (CNY M)" fld="3" baseField="0" baseItem="0"/>
  </dataFields>
  <formats count="16">
    <format dxfId="0">
      <pivotArea outline="0" collapsedLevelsAreSubtotals="1" fieldPosition="0"/>
    </format>
    <format dxfId="1">
      <pivotArea type="all" dataOnly="0" outline="0" fieldPosition="0"/>
    </format>
    <format dxfId="2">
      <pivotArea outline="0" collapsedLevelsAreSubtotals="1" fieldPosition="0"/>
    </format>
    <format dxfId="3">
      <pivotArea type="origin" dataOnly="0" labelOnly="1" outline="0" fieldPosition="0"/>
    </format>
    <format dxfId="4">
      <pivotArea type="topRight" dataOnly="0" labelOnly="1" outline="0" fieldPosition="0"/>
    </format>
    <format dxfId="5">
      <pivotArea dataOnly="0" labelOnly="1" grandRow="1" outline="0" fieldPosition="0"/>
    </format>
    <format dxfId="6">
      <pivotArea type="all" dataOnly="0" outline="0" fieldPosition="0"/>
    </format>
    <format dxfId="7">
      <pivotArea outline="0" collapsedLevelsAreSubtotals="1" fieldPosition="0"/>
    </format>
    <format dxfId="8">
      <pivotArea type="origin" dataOnly="0" labelOnly="1" outline="0" fieldPosition="0"/>
    </format>
    <format dxfId="9">
      <pivotArea type="topRight" dataOnly="0" labelOnly="1" outline="0" fieldPosition="0"/>
    </format>
    <format dxfId="10">
      <pivotArea dataOnly="0" labelOnly="1" grandRow="1" outline="0" fieldPosition="0"/>
    </format>
    <format dxfId="11">
      <pivotArea type="all" dataOnly="0" outline="0" fieldPosition="0"/>
    </format>
    <format dxfId="12">
      <pivotArea outline="0" collapsedLevelsAreSubtotals="1" fieldPosition="0"/>
    </format>
    <format dxfId="13">
      <pivotArea type="origin" dataOnly="0" labelOnly="1" outline="0" fieldPosition="0"/>
    </format>
    <format dxfId="14">
      <pivotArea type="topRight" dataOnly="0" labelOnly="1" outline="0" fieldPosition="0"/>
    </format>
    <format dxfId="15">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I72" sqref="I72"/>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U44" sqref="U44:V44"/>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12</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11</v>
      </c>
      <c r="C43" s="13" t="s">
        <v>4</v>
      </c>
      <c r="D43" s="13" t="s">
        <v>5</v>
      </c>
      <c r="E43" s="13" t="s">
        <v>6</v>
      </c>
      <c r="F43" s="13" t="s">
        <v>7</v>
      </c>
      <c r="G43" s="13" t="s">
        <v>8</v>
      </c>
      <c r="H43" s="13" t="s">
        <v>9</v>
      </c>
      <c r="I43" s="13" t="s">
        <v>1</v>
      </c>
      <c r="J43" s="13" t="s">
        <v>13</v>
      </c>
      <c r="K43" s="13" t="s">
        <v>14</v>
      </c>
      <c r="L43" s="13" t="s">
        <v>15</v>
      </c>
      <c r="M43" s="13" t="s">
        <v>16</v>
      </c>
      <c r="N43" s="13" t="s">
        <v>17</v>
      </c>
      <c r="O43" s="13" t="s">
        <v>18</v>
      </c>
      <c r="P43" s="13" t="s">
        <v>19</v>
      </c>
      <c r="Q43" s="13" t="s">
        <v>20</v>
      </c>
      <c r="R43" s="13" t="s">
        <v>21</v>
      </c>
      <c r="S43" s="13" t="s">
        <v>22</v>
      </c>
      <c r="T43" s="13" t="s">
        <v>23</v>
      </c>
      <c r="U43" s="13" t="s">
        <v>24</v>
      </c>
      <c r="V43" s="13" t="s">
        <v>25</v>
      </c>
    </row>
    <row r="44" spans="2:28" ht="15" customHeight="1">
      <c r="B44" s="14">
        <v>7.0857599999999996</v>
      </c>
      <c r="C44" s="14">
        <v>6.9194800000000001</v>
      </c>
      <c r="D44" s="14">
        <v>6.6223799999999997</v>
      </c>
      <c r="E44" s="14">
        <v>6.4848400000000002</v>
      </c>
      <c r="F44" s="14">
        <v>6.4593400000000001</v>
      </c>
      <c r="G44" s="14">
        <v>6.4708500000000004</v>
      </c>
      <c r="H44" s="14">
        <v>6.3937299999999997</v>
      </c>
      <c r="I44" s="14">
        <v>6.34795</v>
      </c>
      <c r="J44" s="14">
        <v>6.6090200000000001</v>
      </c>
      <c r="K44" s="14">
        <v>6.8456099999999998</v>
      </c>
      <c r="L44" s="14">
        <v>7.1093700000000002</v>
      </c>
      <c r="M44" s="14">
        <v>6.8427100000000003</v>
      </c>
      <c r="N44" s="14">
        <v>7.0096100000000003</v>
      </c>
      <c r="O44" s="14">
        <v>7.2379800000000003</v>
      </c>
      <c r="P44" s="14">
        <v>7.2001499999999998</v>
      </c>
      <c r="Q44" s="14">
        <v>7.1584099999999999</v>
      </c>
      <c r="R44" s="14">
        <v>7.2415200000000004</v>
      </c>
      <c r="S44" s="14">
        <v>7.16052</v>
      </c>
      <c r="T44" s="14">
        <v>7.1914999999999996</v>
      </c>
      <c r="U44" s="14">
        <v>7.2678500000000001</v>
      </c>
      <c r="V44" s="14">
        <v>7.2351999999999999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42"/>
  <sheetViews>
    <sheetView showGridLines="0" tabSelected="1" zoomScaleNormal="100" workbookViewId="0">
      <selection activeCell="M20" sqref="M20"/>
    </sheetView>
  </sheetViews>
  <sheetFormatPr defaultColWidth="5.54296875" defaultRowHeight="14" customHeight="1"/>
  <cols>
    <col min="1" max="1" width="4.81640625" style="3" customWidth="1"/>
    <col min="2" max="2" width="27.81640625" style="3" bestFit="1" customWidth="1"/>
    <col min="3" max="3" width="17.1796875" style="3" bestFit="1" customWidth="1"/>
    <col min="4" max="11" width="11.08984375" style="3" customWidth="1"/>
    <col min="12" max="12" width="9.1796875" style="3" customWidth="1"/>
    <col min="13" max="13" width="28.906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8">
      <c r="B18" s="17" t="s">
        <v>2</v>
      </c>
      <c r="C18" s="15" t="s">
        <v>3</v>
      </c>
      <c r="D18" s="15"/>
      <c r="E18" s="15"/>
      <c r="F18" s="15"/>
      <c r="G18" s="15"/>
      <c r="H18" s="15"/>
      <c r="I18" s="15"/>
      <c r="J18" s="15"/>
      <c r="K18" s="16"/>
      <c r="L18" s="16"/>
      <c r="M18"/>
      <c r="N18"/>
    </row>
    <row r="19" spans="2:27" ht="18">
      <c r="B19" s="17" t="s">
        <v>26</v>
      </c>
      <c r="C19" s="15" t="s">
        <v>30</v>
      </c>
      <c r="D19" s="15"/>
      <c r="E19" s="15"/>
      <c r="F19" s="15"/>
      <c r="G19" s="15"/>
      <c r="H19" s="15"/>
      <c r="I19" s="15"/>
      <c r="J19" s="16"/>
      <c r="K19" s="16"/>
      <c r="L19" s="16"/>
      <c r="M19" s="5"/>
      <c r="N19"/>
      <c r="O19"/>
    </row>
    <row r="20" spans="2:27" ht="18">
      <c r="B20" s="17" t="s">
        <v>52</v>
      </c>
      <c r="C20" s="15" t="s">
        <v>25</v>
      </c>
      <c r="D20" s="15"/>
      <c r="E20" s="15"/>
      <c r="F20" s="15"/>
      <c r="G20" s="15"/>
      <c r="H20" s="15"/>
      <c r="I20" s="15"/>
      <c r="J20" s="16"/>
      <c r="K20" s="16"/>
      <c r="L20" s="16"/>
      <c r="M20"/>
      <c r="N20"/>
      <c r="R20"/>
      <c r="S20"/>
      <c r="T20"/>
      <c r="U20" s="4"/>
    </row>
    <row r="21" spans="2:27" ht="18">
      <c r="B21" s="15"/>
      <c r="C21" s="15"/>
      <c r="D21" s="15"/>
      <c r="E21" s="15"/>
      <c r="F21" s="15"/>
      <c r="G21" s="15"/>
      <c r="H21" s="15"/>
      <c r="I21" s="15"/>
      <c r="J21" s="16"/>
      <c r="K21" s="16"/>
      <c r="L21" s="16"/>
      <c r="M21" s="4"/>
      <c r="N21" s="4"/>
      <c r="O21" s="4"/>
      <c r="P21" s="4"/>
      <c r="R21"/>
      <c r="S21"/>
      <c r="T21"/>
      <c r="U21" s="4"/>
      <c r="V21" s="4"/>
    </row>
    <row r="22" spans="2:27" ht="18">
      <c r="B22" s="17" t="s">
        <v>27</v>
      </c>
      <c r="C22" s="15"/>
      <c r="D22" s="17" t="s">
        <v>0</v>
      </c>
      <c r="E22" s="15"/>
      <c r="F22" s="15"/>
      <c r="G22" s="15"/>
      <c r="H22" s="15"/>
      <c r="I22" s="15"/>
      <c r="J22" s="15"/>
      <c r="K22"/>
      <c r="L22" s="16"/>
      <c r="M22" s="4"/>
      <c r="N22" s="4"/>
      <c r="O22" s="4"/>
      <c r="P22" s="4"/>
      <c r="Q22"/>
      <c r="R22"/>
      <c r="S22"/>
      <c r="T22"/>
      <c r="U22" s="4"/>
      <c r="V22" s="4"/>
    </row>
    <row r="23" spans="2:27" ht="18">
      <c r="B23" s="17" t="s">
        <v>29</v>
      </c>
      <c r="C23" s="17" t="s">
        <v>31</v>
      </c>
      <c r="D23" s="15">
        <v>2023</v>
      </c>
      <c r="E23" s="15">
        <v>2024</v>
      </c>
      <c r="F23" s="15">
        <v>2025</v>
      </c>
      <c r="G23" s="15">
        <v>2026</v>
      </c>
      <c r="H23" s="15">
        <v>2027</v>
      </c>
      <c r="I23" s="15">
        <v>2028</v>
      </c>
      <c r="J23" s="15">
        <v>2029</v>
      </c>
      <c r="K23"/>
      <c r="L23" s="16"/>
      <c r="M23" s="4"/>
      <c r="N23" s="4"/>
      <c r="O23" s="4"/>
      <c r="P23" s="4"/>
      <c r="Q23"/>
      <c r="R23"/>
      <c r="S23"/>
      <c r="T23"/>
      <c r="U23" s="4"/>
      <c r="V23" s="4"/>
    </row>
    <row r="24" spans="2:27" ht="14.5">
      <c r="B24" s="15" t="s">
        <v>32</v>
      </c>
      <c r="C24" s="15" t="s">
        <v>33</v>
      </c>
      <c r="D24" s="19">
        <v>167.33298884000018</v>
      </c>
      <c r="E24" s="19">
        <v>97.727782210000001</v>
      </c>
      <c r="F24" s="19">
        <v>117.78684161</v>
      </c>
      <c r="G24" s="19">
        <v>82.663855920000003</v>
      </c>
      <c r="H24" s="19">
        <v>28.905855519999999</v>
      </c>
      <c r="I24" s="19"/>
      <c r="J24" s="19"/>
      <c r="K24"/>
      <c r="L24"/>
      <c r="M24"/>
      <c r="N24"/>
      <c r="O24"/>
      <c r="P24"/>
      <c r="Q24"/>
      <c r="R24"/>
      <c r="S24"/>
      <c r="T24"/>
      <c r="U24"/>
      <c r="V24"/>
      <c r="W24"/>
      <c r="X24"/>
      <c r="Y24"/>
      <c r="Z24"/>
    </row>
    <row r="25" spans="2:27" ht="14.5">
      <c r="B25" s="15"/>
      <c r="C25" s="15" t="s">
        <v>34</v>
      </c>
      <c r="D25" s="19">
        <v>10373.779940480001</v>
      </c>
      <c r="E25" s="19">
        <v>9536.6388052699986</v>
      </c>
      <c r="F25" s="19">
        <v>9764.5557374199998</v>
      </c>
      <c r="G25" s="19">
        <v>9589.4362972399995</v>
      </c>
      <c r="H25" s="19">
        <v>9098.571829890001</v>
      </c>
      <c r="I25" s="19">
        <v>8512.9109822299997</v>
      </c>
      <c r="J25" s="19">
        <v>7406.3793865500002</v>
      </c>
      <c r="K25"/>
      <c r="L25"/>
      <c r="M25"/>
      <c r="N25"/>
      <c r="O25"/>
      <c r="P25"/>
      <c r="Q25"/>
      <c r="R25"/>
      <c r="S25"/>
      <c r="T25"/>
      <c r="U25"/>
      <c r="V25"/>
      <c r="W25"/>
      <c r="X25"/>
      <c r="Y25"/>
      <c r="Z25"/>
    </row>
    <row r="26" spans="2:27" ht="14.5">
      <c r="B26" s="15"/>
      <c r="C26" s="15" t="s">
        <v>35</v>
      </c>
      <c r="D26" s="19">
        <v>364.32355223000002</v>
      </c>
      <c r="E26" s="19">
        <v>465.16581987000001</v>
      </c>
      <c r="F26" s="19">
        <v>504.31723111000002</v>
      </c>
      <c r="G26" s="19">
        <v>782.70354119000001</v>
      </c>
      <c r="H26" s="19">
        <v>1420.1896111000001</v>
      </c>
      <c r="I26" s="19">
        <v>1886.33331686</v>
      </c>
      <c r="J26" s="19">
        <v>2369.57331544</v>
      </c>
      <c r="K26"/>
      <c r="L26"/>
      <c r="M26"/>
      <c r="N26"/>
      <c r="O26"/>
      <c r="P26"/>
      <c r="Q26"/>
      <c r="R26"/>
      <c r="S26"/>
      <c r="T26"/>
      <c r="U26"/>
      <c r="V26"/>
      <c r="W26"/>
      <c r="X26"/>
      <c r="Y26"/>
      <c r="Z26"/>
    </row>
    <row r="27" spans="2:27" ht="14.5">
      <c r="B27" s="15"/>
      <c r="C27" s="15" t="s">
        <v>36</v>
      </c>
      <c r="D27" s="19">
        <v>7090.8356520999996</v>
      </c>
      <c r="E27" s="19">
        <v>5779.0250129200003</v>
      </c>
      <c r="F27" s="19">
        <v>5551.7878490300009</v>
      </c>
      <c r="G27" s="19">
        <v>5456.1345357099999</v>
      </c>
      <c r="H27" s="19">
        <v>5272.1179564499998</v>
      </c>
      <c r="I27" s="19">
        <v>5386.6746976199993</v>
      </c>
      <c r="J27" s="19">
        <v>5829.14550805</v>
      </c>
      <c r="K27"/>
      <c r="L27"/>
      <c r="M27"/>
      <c r="N27"/>
      <c r="O27"/>
      <c r="P27"/>
      <c r="Q27"/>
      <c r="R27"/>
      <c r="S27"/>
      <c r="T27"/>
      <c r="U27"/>
      <c r="V27"/>
      <c r="W27"/>
      <c r="X27"/>
      <c r="Y27"/>
      <c r="Z27"/>
      <c r="AA27"/>
    </row>
    <row r="28" spans="2:27" ht="14.5">
      <c r="B28" s="15"/>
      <c r="C28" s="15" t="s">
        <v>37</v>
      </c>
      <c r="D28" s="19">
        <v>3184.336248789999</v>
      </c>
      <c r="E28" s="19">
        <v>2953.4000346299999</v>
      </c>
      <c r="F28" s="19">
        <v>2700.3352250500002</v>
      </c>
      <c r="G28" s="19">
        <v>2929.0653898699998</v>
      </c>
      <c r="H28" s="19">
        <v>2863.7126502400001</v>
      </c>
      <c r="I28" s="19">
        <v>2503.6108382899997</v>
      </c>
      <c r="J28" s="19">
        <v>2118.1624457499997</v>
      </c>
      <c r="K28"/>
      <c r="L28"/>
      <c r="M28"/>
      <c r="N28"/>
      <c r="O28"/>
      <c r="P28"/>
      <c r="Q28"/>
      <c r="R28"/>
      <c r="S28"/>
      <c r="T28"/>
      <c r="U28"/>
      <c r="V28"/>
      <c r="W28"/>
      <c r="X28"/>
      <c r="Y28"/>
      <c r="Z28"/>
      <c r="AA28"/>
    </row>
    <row r="29" spans="2:27" ht="14.5">
      <c r="B29" s="15"/>
      <c r="C29" s="15" t="s">
        <v>38</v>
      </c>
      <c r="D29" s="19">
        <v>504.03405780999987</v>
      </c>
      <c r="E29" s="19">
        <v>323.27167512</v>
      </c>
      <c r="F29" s="19">
        <v>269.50941001000001</v>
      </c>
      <c r="G29" s="19">
        <v>82.308533850000003</v>
      </c>
      <c r="H29" s="19">
        <v>12.939780369999999</v>
      </c>
      <c r="I29" s="19"/>
      <c r="J29" s="19"/>
      <c r="K29"/>
      <c r="L29"/>
      <c r="M29"/>
      <c r="N29"/>
      <c r="O29"/>
      <c r="P29"/>
      <c r="Q29"/>
      <c r="R29"/>
      <c r="S29"/>
      <c r="T29"/>
      <c r="U29"/>
      <c r="V29"/>
      <c r="W29"/>
      <c r="X29"/>
      <c r="Y29"/>
      <c r="Z29"/>
      <c r="AA29"/>
    </row>
    <row r="30" spans="2:27" ht="14.5">
      <c r="B30" s="15"/>
      <c r="C30" s="15" t="s">
        <v>39</v>
      </c>
      <c r="D30" s="19">
        <v>5567.446134689998</v>
      </c>
      <c r="E30" s="19">
        <v>5272.5138047700002</v>
      </c>
      <c r="F30" s="19">
        <v>5487.9741364800002</v>
      </c>
      <c r="G30" s="19">
        <v>6143.8298846399994</v>
      </c>
      <c r="H30" s="19">
        <v>6047.8364124200007</v>
      </c>
      <c r="I30" s="19">
        <v>6143.9187724900003</v>
      </c>
      <c r="J30" s="19">
        <v>6121.7363058200008</v>
      </c>
      <c r="K30"/>
      <c r="L30"/>
      <c r="M30"/>
      <c r="N30"/>
      <c r="O30"/>
      <c r="P30"/>
      <c r="Q30"/>
      <c r="R30"/>
      <c r="S30"/>
      <c r="T30"/>
      <c r="U30"/>
      <c r="V30"/>
      <c r="W30"/>
      <c r="X30"/>
      <c r="Y30"/>
      <c r="Z30"/>
      <c r="AA30"/>
    </row>
    <row r="31" spans="2:27" ht="14.5">
      <c r="B31" s="15"/>
      <c r="C31" s="15" t="s">
        <v>40</v>
      </c>
      <c r="D31" s="19">
        <v>2644.5431698299994</v>
      </c>
      <c r="E31" s="19">
        <v>5808.0059737299998</v>
      </c>
      <c r="F31" s="19">
        <v>15451.639381249999</v>
      </c>
      <c r="G31" s="19">
        <v>20386.824860500001</v>
      </c>
      <c r="H31" s="19">
        <v>25309.467549770001</v>
      </c>
      <c r="I31" s="19">
        <v>28616.303500450002</v>
      </c>
      <c r="J31" s="19">
        <v>30169.709157329999</v>
      </c>
      <c r="K31"/>
      <c r="L31"/>
      <c r="M31"/>
      <c r="N31"/>
      <c r="O31"/>
      <c r="P31"/>
      <c r="Q31"/>
      <c r="R31"/>
      <c r="S31"/>
      <c r="T31"/>
      <c r="U31"/>
      <c r="V31"/>
      <c r="W31"/>
      <c r="X31"/>
      <c r="Y31"/>
      <c r="Z31"/>
      <c r="AA31"/>
    </row>
    <row r="32" spans="2:27" ht="14.5">
      <c r="B32" s="15"/>
      <c r="C32" s="15" t="s">
        <v>41</v>
      </c>
      <c r="D32" s="19"/>
      <c r="E32" s="19"/>
      <c r="F32" s="19">
        <v>95.125322589999996</v>
      </c>
      <c r="G32" s="19">
        <v>2003.6378556699999</v>
      </c>
      <c r="H32" s="19">
        <v>6159.4766964099999</v>
      </c>
      <c r="I32" s="19">
        <v>11262.63997599</v>
      </c>
      <c r="J32" s="19">
        <v>19038.181315670001</v>
      </c>
      <c r="K32"/>
      <c r="L32"/>
      <c r="M32"/>
      <c r="N32"/>
      <c r="O32"/>
      <c r="P32"/>
      <c r="Q32"/>
      <c r="R32"/>
      <c r="S32"/>
      <c r="T32"/>
      <c r="U32"/>
      <c r="V32"/>
      <c r="W32"/>
      <c r="X32"/>
      <c r="Y32"/>
      <c r="Z32"/>
      <c r="AA32"/>
    </row>
    <row r="33" spans="2:27" ht="14.5">
      <c r="B33" s="15" t="s">
        <v>43</v>
      </c>
      <c r="C33" s="15" t="s">
        <v>33</v>
      </c>
      <c r="D33" s="19">
        <v>119.24562974</v>
      </c>
      <c r="E33" s="19">
        <v>87.743112109999998</v>
      </c>
      <c r="F33" s="19">
        <v>184.56865604000001</v>
      </c>
      <c r="G33" s="19">
        <v>73.30405433</v>
      </c>
      <c r="H33" s="19">
        <v>20.07035569</v>
      </c>
      <c r="I33" s="19"/>
      <c r="J33" s="19"/>
      <c r="K33"/>
      <c r="L33"/>
      <c r="M33"/>
      <c r="N33"/>
      <c r="O33"/>
      <c r="P33"/>
      <c r="Q33"/>
      <c r="R33"/>
      <c r="S33"/>
      <c r="T33"/>
      <c r="U33"/>
      <c r="V33"/>
      <c r="W33"/>
      <c r="X33"/>
      <c r="Y33"/>
      <c r="Z33"/>
      <c r="AA33"/>
    </row>
    <row r="34" spans="2:27" ht="14.5">
      <c r="B34" s="15"/>
      <c r="C34" s="15" t="s">
        <v>34</v>
      </c>
      <c r="D34" s="19">
        <v>345.88194091000003</v>
      </c>
      <c r="E34" s="19">
        <v>287.08932728000002</v>
      </c>
      <c r="F34" s="19">
        <v>490.66920450999999</v>
      </c>
      <c r="G34" s="19">
        <v>225.96273011</v>
      </c>
      <c r="H34" s="19">
        <v>92.518984450000005</v>
      </c>
      <c r="I34" s="19">
        <v>32.070406159999997</v>
      </c>
      <c r="J34" s="19">
        <v>11.468595150000001</v>
      </c>
      <c r="K34"/>
      <c r="L34"/>
      <c r="M34"/>
      <c r="N34"/>
      <c r="O34"/>
      <c r="P34"/>
      <c r="Q34"/>
      <c r="R34"/>
      <c r="S34"/>
      <c r="T34"/>
      <c r="U34"/>
      <c r="V34"/>
      <c r="W34"/>
      <c r="X34"/>
      <c r="Y34"/>
      <c r="Z34"/>
      <c r="AA34"/>
    </row>
    <row r="35" spans="2:27" ht="14.5">
      <c r="B35" s="15" t="s">
        <v>42</v>
      </c>
      <c r="C35" s="15" t="s">
        <v>33</v>
      </c>
      <c r="D35" s="19">
        <v>0.15158940000000001</v>
      </c>
      <c r="E35" s="19">
        <v>3.5558939999999997E-2</v>
      </c>
      <c r="F35" s="19"/>
      <c r="G35" s="19"/>
      <c r="H35" s="19"/>
      <c r="I35" s="19"/>
      <c r="J35" s="19"/>
      <c r="K35"/>
      <c r="L35"/>
      <c r="M35"/>
      <c r="N35"/>
      <c r="O35"/>
      <c r="P35"/>
      <c r="Q35"/>
      <c r="R35"/>
      <c r="S35"/>
      <c r="T35"/>
      <c r="U35"/>
      <c r="V35"/>
      <c r="W35"/>
      <c r="X35"/>
      <c r="Y35"/>
      <c r="Z35"/>
      <c r="AA35"/>
    </row>
    <row r="36" spans="2:27" ht="14.5">
      <c r="B36" s="15"/>
      <c r="C36" s="15" t="s">
        <v>34</v>
      </c>
      <c r="D36" s="19">
        <v>1302.9349890900005</v>
      </c>
      <c r="E36" s="19">
        <v>1134.4966768699999</v>
      </c>
      <c r="F36" s="19">
        <v>1095.9548639100001</v>
      </c>
      <c r="G36" s="19">
        <v>972.04173744000002</v>
      </c>
      <c r="H36" s="19">
        <v>823.07303639999998</v>
      </c>
      <c r="I36" s="19">
        <v>699.72479168999996</v>
      </c>
      <c r="J36" s="19">
        <v>607.20866306999994</v>
      </c>
      <c r="K36"/>
      <c r="L36"/>
      <c r="M36"/>
      <c r="N36"/>
      <c r="O36"/>
      <c r="P36"/>
      <c r="Q36"/>
      <c r="R36"/>
      <c r="S36"/>
      <c r="T36"/>
      <c r="U36"/>
      <c r="V36"/>
      <c r="W36"/>
      <c r="X36"/>
      <c r="Y36"/>
      <c r="Z36"/>
      <c r="AA36"/>
    </row>
    <row r="37" spans="2:27" ht="14.5">
      <c r="B37" s="15"/>
      <c r="C37" s="15" t="s">
        <v>35</v>
      </c>
      <c r="D37" s="19">
        <v>10.524213100000001</v>
      </c>
      <c r="E37" s="19">
        <v>24.848116749999999</v>
      </c>
      <c r="F37" s="19">
        <v>46.160942390000002</v>
      </c>
      <c r="G37" s="19">
        <v>75.616642150000004</v>
      </c>
      <c r="H37" s="19">
        <v>100.26549692</v>
      </c>
      <c r="I37" s="19">
        <v>116.32350685999999</v>
      </c>
      <c r="J37" s="19">
        <v>128.78117545000001</v>
      </c>
      <c r="K37"/>
      <c r="L37"/>
      <c r="M37"/>
      <c r="N37"/>
      <c r="O37"/>
      <c r="P37"/>
      <c r="Q37"/>
      <c r="R37"/>
      <c r="S37"/>
      <c r="T37"/>
      <c r="U37"/>
      <c r="V37"/>
      <c r="W37"/>
      <c r="X37"/>
      <c r="Y37"/>
      <c r="Z37"/>
      <c r="AA37"/>
    </row>
    <row r="38" spans="2:27" ht="14.5">
      <c r="B38" s="15"/>
      <c r="C38" s="15" t="s">
        <v>36</v>
      </c>
      <c r="D38" s="19">
        <v>3412.6584527500022</v>
      </c>
      <c r="E38" s="19">
        <v>3378.6212255700002</v>
      </c>
      <c r="F38" s="19">
        <v>2701.4785017899999</v>
      </c>
      <c r="G38" s="19">
        <v>2671.13567689</v>
      </c>
      <c r="H38" s="19">
        <v>2702.73784991</v>
      </c>
      <c r="I38" s="19">
        <v>2762.70787458</v>
      </c>
      <c r="J38" s="19">
        <v>2791.5997986400002</v>
      </c>
      <c r="K38"/>
      <c r="L38"/>
      <c r="M38"/>
      <c r="N38"/>
      <c r="O38"/>
      <c r="P38"/>
      <c r="Q38"/>
      <c r="R38"/>
      <c r="S38"/>
      <c r="T38"/>
      <c r="U38"/>
      <c r="V38"/>
      <c r="W38"/>
      <c r="X38"/>
      <c r="Y38"/>
      <c r="Z38"/>
      <c r="AA38"/>
    </row>
    <row r="39" spans="2:27" ht="14.5">
      <c r="B39" s="15"/>
      <c r="C39" s="15" t="s">
        <v>37</v>
      </c>
      <c r="D39" s="19">
        <v>65.401761040000011</v>
      </c>
      <c r="E39" s="19">
        <v>48.340457630000003</v>
      </c>
      <c r="F39" s="19">
        <v>73.747517590000001</v>
      </c>
      <c r="G39" s="19">
        <v>85.851640790000005</v>
      </c>
      <c r="H39" s="19">
        <v>106.72578799999999</v>
      </c>
      <c r="I39" s="19">
        <v>143.52411816</v>
      </c>
      <c r="J39" s="19">
        <v>165.008791</v>
      </c>
      <c r="K39"/>
      <c r="L39"/>
      <c r="M39"/>
      <c r="N39"/>
      <c r="O39"/>
      <c r="P39"/>
      <c r="Q39"/>
      <c r="R39"/>
      <c r="S39"/>
      <c r="T39"/>
      <c r="U39"/>
      <c r="V39"/>
      <c r="W39"/>
      <c r="X39"/>
      <c r="Y39"/>
      <c r="Z39"/>
      <c r="AA39"/>
    </row>
    <row r="40" spans="2:27" ht="14.5">
      <c r="B40" s="15"/>
      <c r="C40" s="15" t="s">
        <v>38</v>
      </c>
      <c r="D40" s="19">
        <v>993.7052711299998</v>
      </c>
      <c r="E40" s="19">
        <v>641.84085862999996</v>
      </c>
      <c r="F40" s="19">
        <v>361.99199352999995</v>
      </c>
      <c r="G40" s="19">
        <v>110.77531591</v>
      </c>
      <c r="H40" s="19">
        <v>12.12132828</v>
      </c>
      <c r="I40" s="19"/>
      <c r="J40" s="19"/>
      <c r="K40"/>
      <c r="L40"/>
      <c r="M40"/>
      <c r="N40"/>
      <c r="O40"/>
      <c r="P40"/>
      <c r="Q40"/>
      <c r="R40"/>
      <c r="S40"/>
      <c r="T40"/>
      <c r="U40"/>
      <c r="V40"/>
      <c r="W40"/>
      <c r="X40"/>
      <c r="Y40"/>
      <c r="Z40"/>
      <c r="AA40"/>
    </row>
    <row r="41" spans="2:27" ht="14.5">
      <c r="B41" s="15"/>
      <c r="C41" s="15" t="s">
        <v>39</v>
      </c>
      <c r="D41" s="19">
        <v>2578.76611839</v>
      </c>
      <c r="E41" s="19">
        <v>3981.5098194299999</v>
      </c>
      <c r="F41" s="19">
        <v>4048.07873724</v>
      </c>
      <c r="G41" s="19">
        <v>4404.2967656199999</v>
      </c>
      <c r="H41" s="19">
        <v>3970.3328447899999</v>
      </c>
      <c r="I41" s="19">
        <v>3475.3649859099996</v>
      </c>
      <c r="J41" s="19">
        <v>2950.3691458399999</v>
      </c>
      <c r="K41"/>
      <c r="L41"/>
      <c r="M41"/>
      <c r="N41"/>
      <c r="O41"/>
      <c r="P41"/>
      <c r="Q41"/>
      <c r="R41"/>
      <c r="S41"/>
      <c r="T41"/>
      <c r="U41"/>
      <c r="V41"/>
      <c r="W41"/>
      <c r="X41"/>
      <c r="Y41"/>
      <c r="Z41"/>
      <c r="AA41"/>
    </row>
    <row r="42" spans="2:27" ht="14.5">
      <c r="B42" s="15"/>
      <c r="C42" s="15" t="s">
        <v>40</v>
      </c>
      <c r="D42" s="19">
        <v>680.28417735000005</v>
      </c>
      <c r="E42" s="19">
        <v>1904.9754751800001</v>
      </c>
      <c r="F42" s="19">
        <v>1646.6617083199999</v>
      </c>
      <c r="G42" s="19">
        <v>2226.9680126799999</v>
      </c>
      <c r="H42" s="19">
        <v>2735.9852116299999</v>
      </c>
      <c r="I42" s="19">
        <v>3369.43595211</v>
      </c>
      <c r="J42" s="19">
        <v>3446.5757976199998</v>
      </c>
      <c r="K42"/>
      <c r="L42"/>
      <c r="M42"/>
      <c r="N42"/>
      <c r="O42"/>
      <c r="P42"/>
      <c r="Q42"/>
      <c r="R42"/>
      <c r="S42"/>
      <c r="T42"/>
      <c r="U42"/>
      <c r="V42"/>
      <c r="W42"/>
      <c r="X42"/>
      <c r="Y42"/>
      <c r="Z42"/>
      <c r="AA42"/>
    </row>
    <row r="43" spans="2:27" ht="14.5">
      <c r="B43" s="15"/>
      <c r="C43" s="15" t="s">
        <v>41</v>
      </c>
      <c r="D43" s="19"/>
      <c r="E43" s="19"/>
      <c r="F43" s="19"/>
      <c r="G43" s="19">
        <v>216.64675098000001</v>
      </c>
      <c r="H43" s="19">
        <v>577.46787537</v>
      </c>
      <c r="I43" s="19">
        <v>1794.9456511799999</v>
      </c>
      <c r="J43" s="19">
        <v>3127.29686468</v>
      </c>
      <c r="K43"/>
      <c r="L43"/>
      <c r="M43"/>
      <c r="N43"/>
      <c r="O43"/>
      <c r="P43"/>
      <c r="Q43"/>
      <c r="R43"/>
      <c r="S43"/>
      <c r="T43"/>
      <c r="U43"/>
      <c r="V43"/>
      <c r="W43"/>
      <c r="X43"/>
      <c r="Y43"/>
      <c r="Z43"/>
      <c r="AA43"/>
    </row>
    <row r="44" spans="2:27" ht="14.5">
      <c r="B44" s="15" t="s">
        <v>28</v>
      </c>
      <c r="C44" s="15"/>
      <c r="D44" s="19">
        <v>39406.185887669992</v>
      </c>
      <c r="E44" s="19">
        <v>41725.24953691</v>
      </c>
      <c r="F44" s="19">
        <v>50592.343259870002</v>
      </c>
      <c r="G44" s="19">
        <v>58519.204081490003</v>
      </c>
      <c r="H44" s="19">
        <v>67354.517113609996</v>
      </c>
      <c r="I44" s="19">
        <v>76706.489370579991</v>
      </c>
      <c r="J44" s="19">
        <v>86281.196266059997</v>
      </c>
      <c r="K44"/>
      <c r="L44"/>
      <c r="M44"/>
      <c r="N44"/>
      <c r="O44"/>
      <c r="P44"/>
      <c r="Q44"/>
      <c r="R44"/>
      <c r="S44"/>
      <c r="T44"/>
      <c r="U44"/>
      <c r="V44"/>
      <c r="W44"/>
      <c r="X44"/>
      <c r="Y44"/>
      <c r="Z44"/>
      <c r="AA44"/>
    </row>
    <row r="45" spans="2:27" ht="14.5">
      <c r="B45"/>
      <c r="C45"/>
      <c r="D45"/>
      <c r="E45"/>
      <c r="F45"/>
      <c r="G45"/>
      <c r="H45"/>
      <c r="I45"/>
      <c r="J45"/>
      <c r="K45"/>
      <c r="L45"/>
      <c r="M45"/>
      <c r="N45"/>
      <c r="O45"/>
      <c r="P45"/>
      <c r="Q45"/>
      <c r="R45"/>
      <c r="S45"/>
      <c r="T45"/>
      <c r="U45"/>
      <c r="V45"/>
      <c r="W45"/>
      <c r="X45"/>
      <c r="Y45"/>
      <c r="Z45"/>
      <c r="AA45"/>
    </row>
    <row r="46" spans="2:27" ht="14.5">
      <c r="B46"/>
      <c r="C46"/>
      <c r="D46"/>
      <c r="E46"/>
      <c r="F46"/>
      <c r="G46"/>
      <c r="H46"/>
      <c r="I46"/>
      <c r="J4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c r="AA54"/>
    </row>
    <row r="55" spans="2:27" ht="14.5">
      <c r="B55"/>
      <c r="C55"/>
      <c r="D55"/>
      <c r="E55"/>
      <c r="F55"/>
      <c r="G55"/>
      <c r="H55"/>
      <c r="I55"/>
      <c r="J55"/>
      <c r="K55"/>
      <c r="L55"/>
      <c r="M55"/>
      <c r="N55"/>
      <c r="O55"/>
      <c r="P55"/>
      <c r="Q55"/>
      <c r="R55"/>
      <c r="S55"/>
      <c r="T55"/>
      <c r="U55"/>
      <c r="V55"/>
      <c r="W55"/>
      <c r="X55"/>
      <c r="Y55"/>
      <c r="Z55"/>
      <c r="AA55"/>
    </row>
    <row r="56" spans="2:27" ht="14.5">
      <c r="B56"/>
      <c r="C56"/>
      <c r="D56"/>
      <c r="E56"/>
      <c r="F56"/>
      <c r="G56"/>
      <c r="H56"/>
      <c r="I56"/>
      <c r="J56"/>
      <c r="K56"/>
      <c r="L56"/>
      <c r="M56"/>
      <c r="N56"/>
      <c r="O56"/>
      <c r="P56"/>
      <c r="Q56"/>
      <c r="R56"/>
      <c r="S56"/>
      <c r="T56"/>
      <c r="U56"/>
      <c r="V56"/>
      <c r="W56"/>
      <c r="X56"/>
      <c r="Y56"/>
      <c r="Z56"/>
      <c r="AA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26" ht="14.5">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B0A9-FBB9-4F3D-82C2-7D7F4A301877}">
  <dimension ref="B12:AA2242"/>
  <sheetViews>
    <sheetView showGridLines="0" topLeftCell="A7" zoomScaleNormal="100" workbookViewId="0">
      <selection activeCell="E26" sqref="E26"/>
    </sheetView>
  </sheetViews>
  <sheetFormatPr defaultColWidth="5.54296875" defaultRowHeight="14" customHeight="1"/>
  <cols>
    <col min="1" max="1" width="4.81640625" style="3" customWidth="1"/>
    <col min="2" max="2" width="28.90625" style="3" bestFit="1" customWidth="1"/>
    <col min="3" max="3" width="17.1796875" style="3" bestFit="1" customWidth="1"/>
    <col min="4" max="11" width="11.08984375" style="3" customWidth="1"/>
    <col min="12" max="12" width="9.1796875" style="3" customWidth="1"/>
    <col min="13" max="13" width="11.269531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8">
      <c r="B18" s="17" t="s">
        <v>2</v>
      </c>
      <c r="C18" s="15" t="s">
        <v>3</v>
      </c>
      <c r="D18" s="15"/>
      <c r="E18" s="15"/>
      <c r="F18" s="15"/>
      <c r="G18" s="15"/>
      <c r="H18" s="15"/>
      <c r="I18" s="15"/>
      <c r="J18" s="15"/>
      <c r="K18" s="15"/>
      <c r="L18" s="16"/>
      <c r="M18" s="16"/>
      <c r="N18"/>
    </row>
    <row r="19" spans="2:27" ht="18">
      <c r="B19" s="17" t="s">
        <v>26</v>
      </c>
      <c r="C19" s="15" t="s">
        <v>30</v>
      </c>
      <c r="D19" s="15"/>
      <c r="E19" s="15"/>
      <c r="F19" s="15"/>
      <c r="G19" s="15"/>
      <c r="H19" s="15"/>
      <c r="I19" s="15"/>
      <c r="J19" s="16"/>
      <c r="K19" s="16"/>
      <c r="L19" s="16"/>
      <c r="M19" s="16"/>
      <c r="N19"/>
      <c r="O19"/>
    </row>
    <row r="20" spans="2:27" ht="18">
      <c r="B20" s="17" t="s">
        <v>52</v>
      </c>
      <c r="C20" s="15" t="s">
        <v>25</v>
      </c>
      <c r="D20" s="15"/>
      <c r="E20" s="15"/>
      <c r="F20" s="15"/>
      <c r="G20" s="15"/>
      <c r="H20" s="15"/>
      <c r="I20" s="15"/>
      <c r="J20" s="16"/>
      <c r="K20" s="16"/>
      <c r="L20" s="16"/>
      <c r="M20" s="16"/>
      <c r="N20"/>
      <c r="R20"/>
      <c r="S20"/>
      <c r="T20"/>
      <c r="U20" s="4"/>
    </row>
    <row r="21" spans="2:27" ht="18">
      <c r="B21" s="15"/>
      <c r="C21" s="15"/>
      <c r="D21" s="15"/>
      <c r="E21" s="15"/>
      <c r="F21" s="15"/>
      <c r="G21" s="15"/>
      <c r="H21" s="15"/>
      <c r="I21" s="15"/>
      <c r="J21" s="16"/>
      <c r="K21" s="16"/>
      <c r="L21" s="16"/>
      <c r="M21" s="16"/>
      <c r="N21" s="4"/>
      <c r="O21" s="4"/>
      <c r="P21" s="4"/>
      <c r="R21"/>
      <c r="S21"/>
      <c r="T21"/>
      <c r="U21" s="4"/>
      <c r="V21" s="4"/>
    </row>
    <row r="22" spans="2:27" ht="18">
      <c r="B22" s="17" t="s">
        <v>27</v>
      </c>
      <c r="C22" s="15"/>
      <c r="D22" s="15"/>
      <c r="E22" s="17" t="s">
        <v>0</v>
      </c>
      <c r="F22" s="15"/>
      <c r="G22" s="15"/>
      <c r="H22" s="15"/>
      <c r="I22" s="15"/>
      <c r="J22" s="15"/>
      <c r="K22" s="15"/>
      <c r="L22"/>
      <c r="M22" s="16"/>
      <c r="N22" s="4"/>
      <c r="O22" s="4"/>
      <c r="P22" s="4"/>
      <c r="Q22"/>
      <c r="R22"/>
      <c r="S22"/>
      <c r="T22"/>
      <c r="U22" s="4"/>
      <c r="V22" s="4"/>
    </row>
    <row r="23" spans="2:27" ht="18">
      <c r="B23" s="17" t="s">
        <v>44</v>
      </c>
      <c r="C23" s="17" t="s">
        <v>29</v>
      </c>
      <c r="D23" s="17" t="s">
        <v>31</v>
      </c>
      <c r="E23" s="15">
        <v>2023</v>
      </c>
      <c r="F23" s="15">
        <v>2024</v>
      </c>
      <c r="G23" s="15">
        <v>2025</v>
      </c>
      <c r="H23" s="15">
        <v>2026</v>
      </c>
      <c r="I23" s="15">
        <v>2027</v>
      </c>
      <c r="J23" s="15">
        <v>2028</v>
      </c>
      <c r="K23" s="15">
        <v>2029</v>
      </c>
      <c r="L23"/>
      <c r="M23" s="16"/>
      <c r="N23" s="4"/>
      <c r="O23" s="4"/>
      <c r="P23" s="4"/>
      <c r="Q23"/>
      <c r="R23"/>
      <c r="S23"/>
      <c r="T23"/>
      <c r="U23" s="4"/>
      <c r="V23" s="4"/>
    </row>
    <row r="24" spans="2:27" ht="14.5">
      <c r="B24" s="15" t="s">
        <v>45</v>
      </c>
      <c r="C24" s="18" t="s">
        <v>32</v>
      </c>
      <c r="D24" s="15" t="s">
        <v>34</v>
      </c>
      <c r="E24" s="19">
        <v>174.41480662999993</v>
      </c>
      <c r="F24" s="19">
        <v>191.85840109</v>
      </c>
      <c r="G24" s="19">
        <v>229.61707956999999</v>
      </c>
      <c r="H24" s="19">
        <v>258.68640054999997</v>
      </c>
      <c r="I24" s="19">
        <v>284.48996602</v>
      </c>
      <c r="J24" s="19">
        <v>235.62889461</v>
      </c>
      <c r="K24" s="19">
        <v>143.23367909000001</v>
      </c>
      <c r="L24"/>
      <c r="M24"/>
      <c r="N24"/>
      <c r="O24"/>
      <c r="P24"/>
      <c r="Q24"/>
      <c r="R24"/>
      <c r="S24"/>
      <c r="T24"/>
      <c r="U24"/>
      <c r="V24"/>
      <c r="W24"/>
      <c r="X24"/>
      <c r="Y24"/>
      <c r="Z24"/>
      <c r="AA24"/>
    </row>
    <row r="25" spans="2:27" ht="14.5">
      <c r="B25" s="15"/>
      <c r="C25" s="18"/>
      <c r="D25" s="15" t="s">
        <v>36</v>
      </c>
      <c r="E25" s="19">
        <v>2074.2375058900002</v>
      </c>
      <c r="F25" s="19">
        <v>1658.0638059299999</v>
      </c>
      <c r="G25" s="19">
        <v>1292.6253645100001</v>
      </c>
      <c r="H25" s="19">
        <v>752.24897527999997</v>
      </c>
      <c r="I25" s="19">
        <v>239.83683088000001</v>
      </c>
      <c r="J25" s="19">
        <v>68.434013899999997</v>
      </c>
      <c r="K25" s="19">
        <v>18.085495739999999</v>
      </c>
      <c r="L25"/>
      <c r="M25"/>
      <c r="N25"/>
      <c r="O25"/>
      <c r="P25"/>
      <c r="Q25"/>
      <c r="R25"/>
      <c r="S25"/>
      <c r="T25"/>
      <c r="U25"/>
      <c r="V25"/>
      <c r="W25"/>
      <c r="X25"/>
      <c r="Y25"/>
      <c r="Z25"/>
      <c r="AA25"/>
    </row>
    <row r="26" spans="2:27" ht="14.5">
      <c r="B26" s="15"/>
      <c r="C26" s="18"/>
      <c r="D26" s="15" t="s">
        <v>37</v>
      </c>
      <c r="E26" s="19">
        <v>3107.1131412499994</v>
      </c>
      <c r="F26" s="19">
        <v>2871.2716264000001</v>
      </c>
      <c r="G26" s="19">
        <v>2591.5192491600001</v>
      </c>
      <c r="H26" s="19">
        <v>2743.2286327299998</v>
      </c>
      <c r="I26" s="19">
        <v>2549.32504995</v>
      </c>
      <c r="J26" s="19">
        <v>2059.9790120399998</v>
      </c>
      <c r="K26" s="19">
        <v>1589.9967670399999</v>
      </c>
      <c r="L26"/>
      <c r="M26"/>
      <c r="N26"/>
      <c r="O26"/>
      <c r="P26"/>
      <c r="Q26"/>
      <c r="R26"/>
      <c r="S26"/>
      <c r="T26"/>
      <c r="U26"/>
      <c r="V26"/>
      <c r="W26"/>
      <c r="X26"/>
      <c r="Y26"/>
      <c r="Z26"/>
      <c r="AA26"/>
    </row>
    <row r="27" spans="2:27" ht="14.5">
      <c r="B27" s="15"/>
      <c r="C27" s="18"/>
      <c r="D27" s="15" t="s">
        <v>38</v>
      </c>
      <c r="E27" s="19">
        <v>212.80052374000005</v>
      </c>
      <c r="F27" s="19">
        <v>106.60450016</v>
      </c>
      <c r="G27" s="19">
        <v>72.098440060000001</v>
      </c>
      <c r="H27" s="19">
        <v>32.257669419999999</v>
      </c>
      <c r="I27" s="19">
        <v>4.6982017999999997</v>
      </c>
      <c r="J27" s="19"/>
      <c r="K27" s="19"/>
      <c r="L27"/>
      <c r="M27"/>
      <c r="N27"/>
      <c r="O27"/>
      <c r="P27"/>
      <c r="Q27"/>
      <c r="R27"/>
      <c r="S27"/>
      <c r="T27"/>
      <c r="U27"/>
      <c r="V27"/>
      <c r="W27"/>
      <c r="X27"/>
      <c r="Y27"/>
      <c r="Z27"/>
      <c r="AA27"/>
    </row>
    <row r="28" spans="2:27" ht="14.5">
      <c r="B28" s="15"/>
      <c r="C28" s="18"/>
      <c r="D28" s="15" t="s">
        <v>39</v>
      </c>
      <c r="E28" s="19">
        <v>5081.4351587499996</v>
      </c>
      <c r="F28" s="19">
        <v>4846.2009444699997</v>
      </c>
      <c r="G28" s="19">
        <v>4924.8866470800003</v>
      </c>
      <c r="H28" s="19">
        <v>5359.5139827599996</v>
      </c>
      <c r="I28" s="19">
        <v>5035.5339763700003</v>
      </c>
      <c r="J28" s="19">
        <v>4907.6716669400003</v>
      </c>
      <c r="K28" s="19">
        <v>4664.1608623700004</v>
      </c>
      <c r="L28"/>
      <c r="M28"/>
      <c r="N28"/>
      <c r="O28"/>
      <c r="P28"/>
      <c r="Q28"/>
      <c r="R28"/>
      <c r="S28"/>
      <c r="T28"/>
      <c r="U28"/>
      <c r="V28"/>
      <c r="W28"/>
      <c r="X28"/>
      <c r="Y28"/>
      <c r="Z28"/>
      <c r="AA28"/>
    </row>
    <row r="29" spans="2:27" ht="14.5">
      <c r="B29" s="15"/>
      <c r="C29" s="18"/>
      <c r="D29" s="15" t="s">
        <v>40</v>
      </c>
      <c r="E29" s="19">
        <v>2644.5431698299994</v>
      </c>
      <c r="F29" s="19">
        <v>5808.0059737299998</v>
      </c>
      <c r="G29" s="19">
        <v>15451.639381249999</v>
      </c>
      <c r="H29" s="19">
        <v>20386.824860500001</v>
      </c>
      <c r="I29" s="19">
        <v>25309.467549770001</v>
      </c>
      <c r="J29" s="19">
        <v>28616.303500450002</v>
      </c>
      <c r="K29" s="19">
        <v>30169.709157329999</v>
      </c>
      <c r="L29"/>
      <c r="M29"/>
      <c r="N29"/>
      <c r="O29"/>
      <c r="P29"/>
      <c r="Q29"/>
      <c r="R29"/>
      <c r="S29"/>
      <c r="T29"/>
      <c r="U29"/>
      <c r="V29"/>
      <c r="W29"/>
      <c r="X29"/>
      <c r="Y29"/>
      <c r="Z29"/>
      <c r="AA29"/>
    </row>
    <row r="30" spans="2:27" ht="14.5">
      <c r="B30" s="15"/>
      <c r="C30" s="18"/>
      <c r="D30" s="15" t="s">
        <v>41</v>
      </c>
      <c r="E30" s="19"/>
      <c r="F30" s="19"/>
      <c r="G30" s="19">
        <v>95.125322589999996</v>
      </c>
      <c r="H30" s="19">
        <v>2003.6378556699999</v>
      </c>
      <c r="I30" s="19">
        <v>6159.4766964099999</v>
      </c>
      <c r="J30" s="19">
        <v>11262.63997599</v>
      </c>
      <c r="K30" s="19">
        <v>19038.181315670001</v>
      </c>
      <c r="L30"/>
      <c r="M30"/>
      <c r="N30"/>
      <c r="O30"/>
      <c r="P30"/>
      <c r="Q30"/>
      <c r="R30"/>
      <c r="S30"/>
      <c r="T30"/>
      <c r="U30"/>
      <c r="V30"/>
      <c r="W30"/>
      <c r="X30"/>
      <c r="Y30"/>
      <c r="Z30"/>
      <c r="AA30"/>
    </row>
    <row r="31" spans="2:27" ht="14.5">
      <c r="B31" s="15"/>
      <c r="C31" s="18" t="s">
        <v>42</v>
      </c>
      <c r="D31" s="15" t="s">
        <v>34</v>
      </c>
      <c r="E31" s="19">
        <v>3.3036758099999997</v>
      </c>
      <c r="F31" s="19">
        <v>2.44360767</v>
      </c>
      <c r="G31" s="19">
        <v>38.332758939999998</v>
      </c>
      <c r="H31" s="19">
        <v>13.11351883</v>
      </c>
      <c r="I31" s="19"/>
      <c r="J31" s="19"/>
      <c r="K31" s="19"/>
      <c r="L31"/>
      <c r="M31"/>
      <c r="N31"/>
      <c r="O31"/>
      <c r="P31"/>
      <c r="Q31"/>
      <c r="R31"/>
      <c r="S31"/>
      <c r="T31"/>
      <c r="U31"/>
      <c r="V31"/>
      <c r="W31"/>
      <c r="X31"/>
      <c r="Y31"/>
      <c r="Z31"/>
      <c r="AA31"/>
    </row>
    <row r="32" spans="2:27" ht="14.5">
      <c r="B32" s="15"/>
      <c r="C32" s="18"/>
      <c r="D32" s="15" t="s">
        <v>36</v>
      </c>
      <c r="E32" s="19">
        <v>1194.3823176999999</v>
      </c>
      <c r="F32" s="19">
        <v>1088.1881405300001</v>
      </c>
      <c r="G32" s="19">
        <v>363.03247484000002</v>
      </c>
      <c r="H32" s="19">
        <v>114.56022517</v>
      </c>
      <c r="I32" s="19">
        <v>32.868659649999998</v>
      </c>
      <c r="J32" s="19">
        <v>8.1649206599999999</v>
      </c>
      <c r="K32" s="19">
        <v>1.6709671699999999</v>
      </c>
      <c r="L32"/>
      <c r="M32"/>
      <c r="N32"/>
      <c r="O32"/>
      <c r="P32"/>
      <c r="Q32"/>
      <c r="R32"/>
      <c r="S32"/>
      <c r="T32"/>
      <c r="U32"/>
      <c r="V32"/>
      <c r="W32"/>
      <c r="X32"/>
      <c r="Y32"/>
      <c r="Z32"/>
      <c r="AA32"/>
    </row>
    <row r="33" spans="2:27" ht="14.5">
      <c r="B33" s="15"/>
      <c r="C33" s="18"/>
      <c r="D33" s="15" t="s">
        <v>37</v>
      </c>
      <c r="E33" s="19">
        <v>32.547272019999994</v>
      </c>
      <c r="F33" s="19">
        <v>19.379328940000001</v>
      </c>
      <c r="G33" s="19">
        <v>17.502265300000001</v>
      </c>
      <c r="H33" s="19">
        <v>16.573192599999999</v>
      </c>
      <c r="I33" s="19">
        <v>13.631508650000001</v>
      </c>
      <c r="J33" s="19">
        <v>12.410625169999999</v>
      </c>
      <c r="K33" s="19">
        <v>7.7304530800000002</v>
      </c>
      <c r="L33"/>
      <c r="M33"/>
      <c r="N33"/>
      <c r="O33"/>
      <c r="P33"/>
      <c r="Q33"/>
      <c r="R33"/>
      <c r="S33"/>
      <c r="T33"/>
      <c r="U33"/>
      <c r="V33"/>
      <c r="W33"/>
      <c r="X33"/>
      <c r="Y33"/>
      <c r="Z33"/>
      <c r="AA33"/>
    </row>
    <row r="34" spans="2:27" ht="14.5">
      <c r="B34" s="15"/>
      <c r="C34" s="18"/>
      <c r="D34" s="15" t="s">
        <v>38</v>
      </c>
      <c r="E34" s="19">
        <v>720.71670096000014</v>
      </c>
      <c r="F34" s="19">
        <v>376.23126228000001</v>
      </c>
      <c r="G34" s="19">
        <v>216.69702856999999</v>
      </c>
      <c r="H34" s="19">
        <v>81.346701060000001</v>
      </c>
      <c r="I34" s="19">
        <v>8.5308392099999999</v>
      </c>
      <c r="J34" s="19"/>
      <c r="K34" s="19"/>
      <c r="L34"/>
      <c r="M34"/>
      <c r="N34"/>
      <c r="O34"/>
      <c r="P34"/>
      <c r="Q34"/>
      <c r="R34"/>
      <c r="S34"/>
      <c r="T34"/>
      <c r="U34"/>
      <c r="V34"/>
      <c r="W34"/>
      <c r="X34"/>
      <c r="Y34"/>
      <c r="Z34"/>
      <c r="AA34"/>
    </row>
    <row r="35" spans="2:27" ht="14.5">
      <c r="B35" s="15"/>
      <c r="C35" s="18"/>
      <c r="D35" s="15" t="s">
        <v>39</v>
      </c>
      <c r="E35" s="19">
        <v>2373.7841638000004</v>
      </c>
      <c r="F35" s="19">
        <v>3687.57309433</v>
      </c>
      <c r="G35" s="19">
        <v>3790.6913817</v>
      </c>
      <c r="H35" s="19">
        <v>4064.9721489499998</v>
      </c>
      <c r="I35" s="19">
        <v>3527.9138162499999</v>
      </c>
      <c r="J35" s="19">
        <v>2972.4256107699998</v>
      </c>
      <c r="K35" s="19">
        <v>2387.5123520500001</v>
      </c>
      <c r="L35"/>
      <c r="M35"/>
      <c r="N35"/>
      <c r="O35"/>
      <c r="P35"/>
      <c r="Q35"/>
      <c r="R35"/>
      <c r="S35"/>
      <c r="T35"/>
      <c r="U35"/>
      <c r="V35"/>
      <c r="W35"/>
      <c r="X35"/>
      <c r="Y35"/>
      <c r="Z35"/>
      <c r="AA35"/>
    </row>
    <row r="36" spans="2:27" ht="14.5">
      <c r="B36" s="15"/>
      <c r="C36" s="18"/>
      <c r="D36" s="15" t="s">
        <v>40</v>
      </c>
      <c r="E36" s="19">
        <v>680.28417735000005</v>
      </c>
      <c r="F36" s="19">
        <v>1904.94145757</v>
      </c>
      <c r="G36" s="19">
        <v>1646.6617083199999</v>
      </c>
      <c r="H36" s="19">
        <v>2226.9680126799999</v>
      </c>
      <c r="I36" s="19">
        <v>2735.9852116299999</v>
      </c>
      <c r="J36" s="19">
        <v>3369.43595211</v>
      </c>
      <c r="K36" s="19">
        <v>3446.5757976199998</v>
      </c>
      <c r="L36"/>
      <c r="M36"/>
      <c r="N36"/>
      <c r="O36"/>
      <c r="P36"/>
      <c r="Q36"/>
      <c r="R36"/>
      <c r="S36"/>
      <c r="T36"/>
      <c r="U36"/>
      <c r="V36"/>
      <c r="W36"/>
      <c r="X36"/>
      <c r="Y36"/>
      <c r="Z36"/>
      <c r="AA36"/>
    </row>
    <row r="37" spans="2:27" ht="14.5">
      <c r="B37" s="15"/>
      <c r="C37" s="18"/>
      <c r="D37" s="15" t="s">
        <v>41</v>
      </c>
      <c r="E37" s="19"/>
      <c r="F37" s="19"/>
      <c r="G37" s="19"/>
      <c r="H37" s="19">
        <v>216.64675098000001</v>
      </c>
      <c r="I37" s="19">
        <v>577.46787537</v>
      </c>
      <c r="J37" s="19">
        <v>1794.9456511799999</v>
      </c>
      <c r="K37" s="19">
        <v>3127.29686468</v>
      </c>
      <c r="L37"/>
      <c r="M37"/>
      <c r="N37"/>
      <c r="O37"/>
      <c r="P37"/>
      <c r="Q37"/>
      <c r="R37"/>
      <c r="S37"/>
      <c r="T37"/>
      <c r="U37"/>
      <c r="V37"/>
      <c r="W37"/>
      <c r="X37"/>
      <c r="Y37"/>
      <c r="Z37"/>
      <c r="AA37"/>
    </row>
    <row r="38" spans="2:27" ht="14.5">
      <c r="B38" s="15" t="s">
        <v>46</v>
      </c>
      <c r="C38" s="15"/>
      <c r="D38" s="15"/>
      <c r="E38" s="19">
        <v>18299.562613729999</v>
      </c>
      <c r="F38" s="19">
        <v>22560.762143100001</v>
      </c>
      <c r="G38" s="19">
        <v>30730.42910189</v>
      </c>
      <c r="H38" s="19">
        <v>38270.578927180002</v>
      </c>
      <c r="I38" s="19">
        <v>46479.226181960003</v>
      </c>
      <c r="J38" s="19">
        <v>55308.03982382</v>
      </c>
      <c r="K38" s="19">
        <v>64594.153711840001</v>
      </c>
      <c r="L38"/>
      <c r="M38"/>
      <c r="N38"/>
      <c r="O38"/>
      <c r="P38"/>
      <c r="Q38"/>
      <c r="R38"/>
      <c r="S38"/>
      <c r="T38"/>
      <c r="U38"/>
      <c r="V38"/>
      <c r="W38"/>
      <c r="X38"/>
      <c r="Y38"/>
      <c r="Z38"/>
      <c r="AA38"/>
    </row>
    <row r="39" spans="2:27" ht="14.5">
      <c r="B39" s="15" t="s">
        <v>47</v>
      </c>
      <c r="C39" s="18" t="s">
        <v>32</v>
      </c>
      <c r="D39" s="15" t="s">
        <v>33</v>
      </c>
      <c r="E39" s="19">
        <v>167.33298884000018</v>
      </c>
      <c r="F39" s="19">
        <v>97.727782210000001</v>
      </c>
      <c r="G39" s="19">
        <v>117.78684161</v>
      </c>
      <c r="H39" s="19">
        <v>82.663855920000003</v>
      </c>
      <c r="I39" s="19">
        <v>28.905855519999999</v>
      </c>
      <c r="J39" s="19"/>
      <c r="K39" s="19"/>
      <c r="L39"/>
      <c r="M39"/>
      <c r="N39"/>
      <c r="O39"/>
      <c r="P39"/>
      <c r="Q39"/>
      <c r="R39"/>
      <c r="S39"/>
      <c r="T39"/>
      <c r="U39"/>
      <c r="V39"/>
      <c r="W39"/>
      <c r="X39"/>
      <c r="Y39"/>
      <c r="Z39"/>
      <c r="AA39"/>
    </row>
    <row r="40" spans="2:27" ht="14.5">
      <c r="B40" s="15"/>
      <c r="C40" s="18"/>
      <c r="D40" s="15" t="s">
        <v>34</v>
      </c>
      <c r="E40" s="19">
        <v>10199.365133850002</v>
      </c>
      <c r="F40" s="19">
        <v>9344.7804041799991</v>
      </c>
      <c r="G40" s="19">
        <v>9534.9386578499998</v>
      </c>
      <c r="H40" s="19">
        <v>9330.7498966900002</v>
      </c>
      <c r="I40" s="19">
        <v>8814.0818638700002</v>
      </c>
      <c r="J40" s="19">
        <v>8277.2820876200003</v>
      </c>
      <c r="K40" s="19">
        <v>7263.1457074600003</v>
      </c>
      <c r="L40"/>
      <c r="M40"/>
      <c r="N40"/>
      <c r="O40"/>
      <c r="P40"/>
      <c r="Q40"/>
      <c r="R40"/>
      <c r="S40"/>
      <c r="T40"/>
      <c r="U40"/>
      <c r="V40"/>
      <c r="W40"/>
      <c r="X40"/>
      <c r="Y40"/>
      <c r="Z40"/>
      <c r="AA40"/>
    </row>
    <row r="41" spans="2:27" ht="14.5">
      <c r="B41" s="15"/>
      <c r="C41" s="18"/>
      <c r="D41" s="15" t="s">
        <v>35</v>
      </c>
      <c r="E41" s="19">
        <v>364.32355223000019</v>
      </c>
      <c r="F41" s="19">
        <v>465.16581987000001</v>
      </c>
      <c r="G41" s="19">
        <v>504.31723111000002</v>
      </c>
      <c r="H41" s="19">
        <v>782.70354119000001</v>
      </c>
      <c r="I41" s="19">
        <v>1420.1896111000001</v>
      </c>
      <c r="J41" s="19">
        <v>1886.33331686</v>
      </c>
      <c r="K41" s="19">
        <v>2369.57331544</v>
      </c>
      <c r="L41"/>
      <c r="M41"/>
      <c r="N41"/>
      <c r="O41"/>
      <c r="P41"/>
      <c r="Q41"/>
      <c r="R41"/>
      <c r="S41"/>
      <c r="T41"/>
      <c r="U41"/>
      <c r="V41"/>
      <c r="W41"/>
      <c r="X41"/>
      <c r="Y41"/>
      <c r="Z41"/>
      <c r="AA41"/>
    </row>
    <row r="42" spans="2:27" ht="14.5">
      <c r="B42" s="15"/>
      <c r="C42" s="18"/>
      <c r="D42" s="15" t="s">
        <v>36</v>
      </c>
      <c r="E42" s="19">
        <v>5016.5981462100008</v>
      </c>
      <c r="F42" s="19">
        <v>4120.9612069900004</v>
      </c>
      <c r="G42" s="19">
        <v>4259.1624845200004</v>
      </c>
      <c r="H42" s="19">
        <v>4703.8855604299997</v>
      </c>
      <c r="I42" s="19">
        <v>5032.2811255699999</v>
      </c>
      <c r="J42" s="19">
        <v>5318.2406837199997</v>
      </c>
      <c r="K42" s="19">
        <v>5811.0600123100003</v>
      </c>
      <c r="L42"/>
      <c r="M42"/>
      <c r="N42"/>
      <c r="O42"/>
      <c r="P42"/>
      <c r="Q42"/>
      <c r="R42"/>
      <c r="S42"/>
      <c r="T42"/>
      <c r="U42"/>
      <c r="V42"/>
      <c r="W42"/>
      <c r="X42"/>
      <c r="Y42"/>
      <c r="Z42"/>
      <c r="AA42"/>
    </row>
    <row r="43" spans="2:27" ht="14.5">
      <c r="B43" s="15"/>
      <c r="C43" s="18"/>
      <c r="D43" s="15" t="s">
        <v>37</v>
      </c>
      <c r="E43" s="19">
        <v>77.223107539999972</v>
      </c>
      <c r="F43" s="19">
        <v>82.128408230000005</v>
      </c>
      <c r="G43" s="19">
        <v>108.81597589</v>
      </c>
      <c r="H43" s="19">
        <v>185.83675714</v>
      </c>
      <c r="I43" s="19">
        <v>314.38760029000002</v>
      </c>
      <c r="J43" s="19">
        <v>443.63182625000002</v>
      </c>
      <c r="K43" s="19">
        <v>528.16567870999995</v>
      </c>
      <c r="L43"/>
      <c r="M43"/>
      <c r="N43"/>
      <c r="O43"/>
      <c r="P43"/>
      <c r="Q43"/>
      <c r="R43"/>
      <c r="S43"/>
      <c r="T43"/>
      <c r="U43"/>
      <c r="V43"/>
      <c r="W43"/>
      <c r="X43"/>
      <c r="Y43"/>
      <c r="Z43"/>
      <c r="AA43"/>
    </row>
    <row r="44" spans="2:27" ht="14.5">
      <c r="B44" s="15"/>
      <c r="C44" s="18"/>
      <c r="D44" s="15" t="s">
        <v>38</v>
      </c>
      <c r="E44" s="19">
        <v>291.23353406999991</v>
      </c>
      <c r="F44" s="19">
        <v>216.66717496000001</v>
      </c>
      <c r="G44" s="19">
        <v>197.41096995000001</v>
      </c>
      <c r="H44" s="19">
        <v>50.050864429999997</v>
      </c>
      <c r="I44" s="19">
        <v>8.2415785699999997</v>
      </c>
      <c r="J44" s="19"/>
      <c r="K44" s="19"/>
      <c r="L44"/>
      <c r="M44"/>
      <c r="N44"/>
      <c r="O44"/>
      <c r="P44"/>
      <c r="Q44"/>
      <c r="R44"/>
      <c r="S44"/>
      <c r="T44"/>
      <c r="U44"/>
      <c r="V44"/>
      <c r="W44"/>
      <c r="X44"/>
      <c r="Y44"/>
      <c r="Z44"/>
      <c r="AA44"/>
    </row>
    <row r="45" spans="2:27" ht="14.5">
      <c r="B45" s="15"/>
      <c r="C45" s="18"/>
      <c r="D45" s="15" t="s">
        <v>39</v>
      </c>
      <c r="E45" s="19">
        <v>486.01097593999992</v>
      </c>
      <c r="F45" s="19">
        <v>426.31286030000001</v>
      </c>
      <c r="G45" s="19">
        <v>563.08748939999998</v>
      </c>
      <c r="H45" s="19">
        <v>784.31590187999996</v>
      </c>
      <c r="I45" s="19">
        <v>1012.30243605</v>
      </c>
      <c r="J45" s="19">
        <v>1236.24710555</v>
      </c>
      <c r="K45" s="19">
        <v>1457.57544345</v>
      </c>
      <c r="L45"/>
      <c r="M45"/>
      <c r="N45"/>
      <c r="O45"/>
      <c r="P45"/>
      <c r="Q45"/>
      <c r="R45"/>
      <c r="S45"/>
      <c r="T45"/>
      <c r="U45"/>
      <c r="V45"/>
      <c r="W45"/>
      <c r="X45"/>
      <c r="Y45"/>
      <c r="Z45"/>
      <c r="AA45"/>
    </row>
    <row r="46" spans="2:27" ht="14.5">
      <c r="B46" s="15"/>
      <c r="C46" s="18" t="s">
        <v>42</v>
      </c>
      <c r="D46" s="15" t="s">
        <v>33</v>
      </c>
      <c r="E46" s="19">
        <v>0.15158940000000001</v>
      </c>
      <c r="F46" s="19">
        <v>3.5558939999999997E-2</v>
      </c>
      <c r="G46" s="19"/>
      <c r="H46" s="19"/>
      <c r="I46" s="19"/>
      <c r="J46" s="19"/>
      <c r="K46" s="19"/>
      <c r="L46"/>
      <c r="M46"/>
      <c r="N46"/>
      <c r="O46"/>
      <c r="P46"/>
      <c r="Q46"/>
      <c r="R46"/>
      <c r="S46"/>
      <c r="T46"/>
      <c r="U46"/>
      <c r="V46"/>
      <c r="W46"/>
      <c r="X46"/>
      <c r="Y46"/>
      <c r="Z46"/>
      <c r="AA46"/>
    </row>
    <row r="47" spans="2:27" ht="14.5">
      <c r="B47" s="15"/>
      <c r="C47" s="18"/>
      <c r="D47" s="15" t="s">
        <v>34</v>
      </c>
      <c r="E47" s="19">
        <v>1299.6313132800005</v>
      </c>
      <c r="F47" s="19">
        <v>1132.0530692</v>
      </c>
      <c r="G47" s="19">
        <v>1057.62210497</v>
      </c>
      <c r="H47" s="19">
        <v>958.92821861000004</v>
      </c>
      <c r="I47" s="19">
        <v>823.07303639999998</v>
      </c>
      <c r="J47" s="19">
        <v>699.72479168999996</v>
      </c>
      <c r="K47" s="19">
        <v>607.20866306999994</v>
      </c>
      <c r="L47"/>
      <c r="M47"/>
      <c r="N47"/>
      <c r="O47"/>
      <c r="P47"/>
      <c r="Q47"/>
      <c r="R47"/>
      <c r="S47"/>
      <c r="T47"/>
      <c r="U47"/>
      <c r="V47"/>
      <c r="W47"/>
      <c r="X47"/>
      <c r="Y47"/>
      <c r="Z47"/>
      <c r="AA47"/>
    </row>
    <row r="48" spans="2:27" ht="14.5">
      <c r="B48" s="15"/>
      <c r="C48" s="18"/>
      <c r="D48" s="15" t="s">
        <v>35</v>
      </c>
      <c r="E48" s="19">
        <v>10.524213100000001</v>
      </c>
      <c r="F48" s="19">
        <v>24.848116749999999</v>
      </c>
      <c r="G48" s="19">
        <v>46.160942390000002</v>
      </c>
      <c r="H48" s="19">
        <v>75.616642150000004</v>
      </c>
      <c r="I48" s="19">
        <v>100.26549692</v>
      </c>
      <c r="J48" s="19">
        <v>116.32350685999999</v>
      </c>
      <c r="K48" s="19">
        <v>128.78117545000001</v>
      </c>
      <c r="L48"/>
      <c r="M48"/>
      <c r="N48"/>
      <c r="O48"/>
      <c r="P48"/>
      <c r="Q48"/>
      <c r="R48"/>
      <c r="S48"/>
      <c r="T48"/>
      <c r="U48"/>
      <c r="V48"/>
      <c r="W48"/>
      <c r="X48"/>
      <c r="Y48"/>
      <c r="Z48"/>
      <c r="AA48"/>
    </row>
    <row r="49" spans="2:27" ht="14.5">
      <c r="B49" s="15"/>
      <c r="C49" s="18"/>
      <c r="D49" s="15" t="s">
        <v>36</v>
      </c>
      <c r="E49" s="19">
        <v>2218.2761350499995</v>
      </c>
      <c r="F49" s="19">
        <v>2290.4330850400002</v>
      </c>
      <c r="G49" s="19">
        <v>2338.44602695</v>
      </c>
      <c r="H49" s="19">
        <v>2556.5754517199998</v>
      </c>
      <c r="I49" s="19">
        <v>2669.8691902599999</v>
      </c>
      <c r="J49" s="19">
        <v>2754.5429539199999</v>
      </c>
      <c r="K49" s="19">
        <v>2789.9288314700002</v>
      </c>
      <c r="L49"/>
      <c r="M49"/>
      <c r="N49"/>
      <c r="O49"/>
      <c r="P49"/>
      <c r="Q49"/>
      <c r="R49"/>
      <c r="S49"/>
      <c r="T49"/>
      <c r="U49"/>
      <c r="V49"/>
      <c r="W49"/>
      <c r="X49"/>
      <c r="Y49"/>
      <c r="Z49"/>
      <c r="AA49"/>
    </row>
    <row r="50" spans="2:27" ht="14.5">
      <c r="B50" s="15"/>
      <c r="C50" s="18"/>
      <c r="D50" s="15" t="s">
        <v>37</v>
      </c>
      <c r="E50" s="19">
        <v>32.854489019999995</v>
      </c>
      <c r="F50" s="19">
        <v>28.961128689999999</v>
      </c>
      <c r="G50" s="19">
        <v>56.245252290000003</v>
      </c>
      <c r="H50" s="19">
        <v>69.278448190000006</v>
      </c>
      <c r="I50" s="19">
        <v>93.094279349999994</v>
      </c>
      <c r="J50" s="19">
        <v>131.11349299</v>
      </c>
      <c r="K50" s="19">
        <v>157.27833792000001</v>
      </c>
      <c r="L50"/>
      <c r="M50"/>
      <c r="N50"/>
      <c r="O50"/>
      <c r="P50"/>
      <c r="Q50"/>
      <c r="R50"/>
      <c r="S50"/>
      <c r="T50"/>
      <c r="U50"/>
      <c r="V50"/>
      <c r="W50"/>
      <c r="X50"/>
      <c r="Y50"/>
      <c r="Z50"/>
      <c r="AA50"/>
    </row>
    <row r="51" spans="2:27" ht="14.5">
      <c r="B51" s="15"/>
      <c r="C51" s="18"/>
      <c r="D51" s="15" t="s">
        <v>38</v>
      </c>
      <c r="E51" s="19">
        <v>272.98857017</v>
      </c>
      <c r="F51" s="19">
        <v>265.60959635</v>
      </c>
      <c r="G51" s="19">
        <v>145.29496495999999</v>
      </c>
      <c r="H51" s="19">
        <v>29.428614849999999</v>
      </c>
      <c r="I51" s="19">
        <v>3.5904890699999998</v>
      </c>
      <c r="J51" s="19"/>
      <c r="K51" s="19"/>
      <c r="L51"/>
      <c r="M51"/>
      <c r="N51"/>
      <c r="O51"/>
      <c r="P51"/>
      <c r="Q51"/>
      <c r="R51"/>
      <c r="S51"/>
      <c r="T51"/>
      <c r="U51"/>
      <c r="V51"/>
      <c r="W51"/>
      <c r="X51"/>
      <c r="Y51"/>
      <c r="Z51"/>
      <c r="AA51"/>
    </row>
    <row r="52" spans="2:27" ht="14.5">
      <c r="B52" s="15"/>
      <c r="C52" s="18"/>
      <c r="D52" s="15" t="s">
        <v>39</v>
      </c>
      <c r="E52" s="19">
        <v>204.98195459000002</v>
      </c>
      <c r="F52" s="19">
        <v>293.93672509999999</v>
      </c>
      <c r="G52" s="19">
        <v>257.38735553999999</v>
      </c>
      <c r="H52" s="19">
        <v>339.32461667000001</v>
      </c>
      <c r="I52" s="19">
        <v>442.41902854</v>
      </c>
      <c r="J52" s="19">
        <v>502.93937513999998</v>
      </c>
      <c r="K52" s="19">
        <v>562.85679378999998</v>
      </c>
      <c r="L52"/>
      <c r="M52"/>
      <c r="N52"/>
      <c r="O52"/>
      <c r="P52"/>
      <c r="Q52"/>
      <c r="R52"/>
      <c r="S52"/>
      <c r="T52"/>
      <c r="U52"/>
      <c r="V52"/>
      <c r="W52"/>
      <c r="X52"/>
      <c r="Y52"/>
      <c r="Z52"/>
      <c r="AA52"/>
    </row>
    <row r="53" spans="2:27" ht="14.5">
      <c r="B53" s="15"/>
      <c r="C53" s="18"/>
      <c r="D53" s="15" t="s">
        <v>40</v>
      </c>
      <c r="E53" s="19"/>
      <c r="F53" s="19">
        <v>3.4017609999999997E-2</v>
      </c>
      <c r="G53" s="19"/>
      <c r="H53" s="19"/>
      <c r="I53" s="19"/>
      <c r="J53" s="19"/>
      <c r="K53" s="19"/>
      <c r="L53"/>
      <c r="M53"/>
      <c r="N53"/>
      <c r="O53"/>
      <c r="P53"/>
      <c r="Q53"/>
      <c r="R53"/>
      <c r="S53"/>
      <c r="T53"/>
      <c r="U53"/>
      <c r="V53"/>
      <c r="W53"/>
      <c r="X53"/>
      <c r="Y53"/>
      <c r="Z53"/>
      <c r="AA53"/>
    </row>
    <row r="54" spans="2:27" ht="14.5">
      <c r="B54" s="15"/>
      <c r="C54" s="18" t="s">
        <v>43</v>
      </c>
      <c r="D54" s="15" t="s">
        <v>33</v>
      </c>
      <c r="E54" s="19">
        <v>119.24562974</v>
      </c>
      <c r="F54" s="19">
        <v>87.743112109999998</v>
      </c>
      <c r="G54" s="19">
        <v>184.56865604000001</v>
      </c>
      <c r="H54" s="19">
        <v>73.30405433</v>
      </c>
      <c r="I54" s="19">
        <v>20.07035569</v>
      </c>
      <c r="J54" s="19"/>
      <c r="K54" s="19"/>
      <c r="L54"/>
      <c r="M54"/>
      <c r="N54"/>
      <c r="O54"/>
      <c r="P54"/>
      <c r="Q54"/>
      <c r="R54"/>
      <c r="S54"/>
      <c r="T54"/>
      <c r="U54"/>
      <c r="V54"/>
      <c r="W54"/>
      <c r="X54"/>
      <c r="Y54"/>
      <c r="Z54"/>
      <c r="AA54"/>
    </row>
    <row r="55" spans="2:27" ht="14.5">
      <c r="B55" s="15"/>
      <c r="C55" s="18"/>
      <c r="D55" s="15" t="s">
        <v>34</v>
      </c>
      <c r="E55" s="19">
        <v>345.88194091000003</v>
      </c>
      <c r="F55" s="19">
        <v>287.08932728000002</v>
      </c>
      <c r="G55" s="19">
        <v>490.66920450999999</v>
      </c>
      <c r="H55" s="19">
        <v>225.96273011</v>
      </c>
      <c r="I55" s="19">
        <v>92.518984450000005</v>
      </c>
      <c r="J55" s="19">
        <v>32.070406159999997</v>
      </c>
      <c r="K55" s="19">
        <v>11.468595150000001</v>
      </c>
      <c r="L55"/>
      <c r="M55"/>
      <c r="N55"/>
      <c r="O55"/>
      <c r="P55"/>
      <c r="Q55"/>
      <c r="R55"/>
      <c r="S55"/>
      <c r="T55"/>
      <c r="U55"/>
      <c r="V55"/>
      <c r="W55"/>
      <c r="X55"/>
      <c r="Y55"/>
      <c r="Z55"/>
      <c r="AA55"/>
    </row>
    <row r="56" spans="2:27" ht="14.5">
      <c r="B56" s="15" t="s">
        <v>48</v>
      </c>
      <c r="C56" s="15"/>
      <c r="D56" s="15"/>
      <c r="E56" s="19">
        <v>21106.62327394</v>
      </c>
      <c r="F56" s="19">
        <v>19164.487393810003</v>
      </c>
      <c r="G56" s="19">
        <v>19861.914157979998</v>
      </c>
      <c r="H56" s="19">
        <v>20248.625154310001</v>
      </c>
      <c r="I56" s="19">
        <v>20875.290931650001</v>
      </c>
      <c r="J56" s="19">
        <v>21398.449546760003</v>
      </c>
      <c r="K56" s="19">
        <v>21687.042554220003</v>
      </c>
      <c r="L56"/>
      <c r="M56"/>
      <c r="N56"/>
      <c r="O56"/>
      <c r="P56"/>
      <c r="Q56"/>
      <c r="R56"/>
      <c r="S56"/>
      <c r="T56"/>
      <c r="U56"/>
      <c r="V56"/>
      <c r="W56"/>
      <c r="X56"/>
      <c r="Y56"/>
      <c r="Z56"/>
      <c r="AA56"/>
    </row>
    <row r="57" spans="2:27" ht="14.5">
      <c r="B57" s="15" t="s">
        <v>28</v>
      </c>
      <c r="C57" s="15"/>
      <c r="D57" s="15"/>
      <c r="E57" s="19">
        <v>39406.185887669999</v>
      </c>
      <c r="F57" s="19">
        <v>41725.24953691</v>
      </c>
      <c r="G57" s="19">
        <v>50592.343259869987</v>
      </c>
      <c r="H57" s="19">
        <v>58519.204081490003</v>
      </c>
      <c r="I57" s="19">
        <v>67354.517113609996</v>
      </c>
      <c r="J57" s="19">
        <v>76706.489370580006</v>
      </c>
      <c r="K57" s="19">
        <v>86281.196266059982</v>
      </c>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26" ht="14.5">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FAEF-B101-451B-AA5A-17C5D99DDB1F}">
  <dimension ref="B12:AA2242"/>
  <sheetViews>
    <sheetView showGridLines="0" topLeftCell="A10" zoomScaleNormal="100" workbookViewId="0">
      <selection activeCell="C23" sqref="C23"/>
    </sheetView>
  </sheetViews>
  <sheetFormatPr defaultColWidth="5.54296875" defaultRowHeight="14" customHeight="1"/>
  <cols>
    <col min="1" max="1" width="4.81640625" style="3" customWidth="1"/>
    <col min="2" max="2" width="28.90625" style="3" bestFit="1" customWidth="1"/>
    <col min="3" max="3" width="17.1796875" style="3" bestFit="1" customWidth="1"/>
    <col min="4" max="11" width="11.08984375" style="3" customWidth="1"/>
    <col min="12" max="12" width="9.1796875" style="3" customWidth="1"/>
    <col min="13" max="13" width="11.269531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8">
      <c r="B18" s="17" t="s">
        <v>2</v>
      </c>
      <c r="C18" s="15" t="s">
        <v>3</v>
      </c>
      <c r="D18" s="15"/>
      <c r="E18" s="15"/>
      <c r="F18" s="15"/>
      <c r="G18" s="15"/>
      <c r="H18" s="15"/>
      <c r="I18" s="15"/>
      <c r="J18" s="15"/>
      <c r="K18" s="15"/>
      <c r="L18" s="16"/>
      <c r="M18" s="16"/>
      <c r="N18"/>
    </row>
    <row r="19" spans="2:27" ht="18">
      <c r="B19" s="17" t="s">
        <v>52</v>
      </c>
      <c r="C19" s="15" t="s">
        <v>54</v>
      </c>
      <c r="D19" s="15"/>
      <c r="E19" s="15"/>
      <c r="F19" s="15"/>
      <c r="G19" s="15"/>
      <c r="H19" s="15"/>
      <c r="I19" s="15"/>
      <c r="J19" s="16"/>
      <c r="K19" s="16"/>
      <c r="L19" s="16"/>
      <c r="M19" s="16"/>
      <c r="N19"/>
      <c r="O19"/>
    </row>
    <row r="20" spans="2:27" ht="18">
      <c r="B20" s="15"/>
      <c r="C20" s="15"/>
      <c r="D20" s="15"/>
      <c r="E20" s="15"/>
      <c r="F20" s="15"/>
      <c r="G20" s="15"/>
      <c r="H20" s="15"/>
      <c r="I20" s="15"/>
      <c r="J20" s="16"/>
      <c r="K20" s="16"/>
      <c r="L20" s="16"/>
      <c r="M20" s="16"/>
      <c r="N20"/>
      <c r="R20"/>
      <c r="S20"/>
      <c r="T20"/>
      <c r="U20" s="4"/>
    </row>
    <row r="21" spans="2:27" ht="18">
      <c r="B21" s="17" t="s">
        <v>27</v>
      </c>
      <c r="C21" s="17" t="s">
        <v>0</v>
      </c>
      <c r="D21" s="15"/>
      <c r="E21" s="15"/>
      <c r="F21" s="15"/>
      <c r="G21" s="15"/>
      <c r="H21"/>
      <c r="I21" s="15"/>
      <c r="J21" s="16"/>
      <c r="K21" s="16"/>
      <c r="L21" s="16"/>
      <c r="M21" s="16"/>
      <c r="N21" s="4"/>
      <c r="O21" s="4"/>
      <c r="P21" s="4"/>
      <c r="R21"/>
      <c r="S21"/>
      <c r="T21"/>
      <c r="U21" s="4"/>
      <c r="V21" s="4"/>
    </row>
    <row r="22" spans="2:27" ht="18">
      <c r="B22" s="17" t="s">
        <v>26</v>
      </c>
      <c r="C22" s="15">
        <v>2025</v>
      </c>
      <c r="D22" s="15">
        <v>2026</v>
      </c>
      <c r="E22" s="15">
        <v>2027</v>
      </c>
      <c r="F22" s="15">
        <v>2028</v>
      </c>
      <c r="G22" s="15">
        <v>2029</v>
      </c>
      <c r="H22"/>
      <c r="I22"/>
      <c r="J22"/>
      <c r="K22"/>
      <c r="L22"/>
      <c r="M22" s="16"/>
      <c r="N22" s="4"/>
      <c r="O22" s="4"/>
      <c r="P22" s="4"/>
      <c r="Q22"/>
      <c r="R22"/>
      <c r="S22"/>
      <c r="T22"/>
      <c r="U22" s="4"/>
      <c r="V22" s="4"/>
    </row>
    <row r="23" spans="2:27" ht="18">
      <c r="B23" s="15" t="s">
        <v>53</v>
      </c>
      <c r="C23" s="19">
        <v>310.30221125164746</v>
      </c>
      <c r="D23" s="19">
        <v>363.45602554329048</v>
      </c>
      <c r="E23" s="19">
        <v>417.88719358358929</v>
      </c>
      <c r="F23" s="19">
        <v>510.0799898117769</v>
      </c>
      <c r="G23" s="19">
        <v>636.96088595941194</v>
      </c>
      <c r="H23"/>
      <c r="I23"/>
      <c r="J23"/>
      <c r="K23"/>
      <c r="L23"/>
      <c r="M23" s="16"/>
      <c r="N23" s="4"/>
      <c r="O23" s="4"/>
      <c r="P23" s="4"/>
      <c r="Q23"/>
      <c r="R23"/>
      <c r="S23"/>
      <c r="T23"/>
      <c r="U23" s="4"/>
      <c r="V23" s="4"/>
    </row>
    <row r="24" spans="2:27" ht="14.5">
      <c r="B24" s="15" t="s">
        <v>28</v>
      </c>
      <c r="C24" s="19">
        <v>310.30221125164746</v>
      </c>
      <c r="D24" s="19">
        <v>363.45602554329048</v>
      </c>
      <c r="E24" s="19">
        <v>417.88719358358929</v>
      </c>
      <c r="F24" s="19">
        <v>510.0799898117769</v>
      </c>
      <c r="G24" s="19">
        <v>636.96088595941194</v>
      </c>
      <c r="H24"/>
      <c r="I24"/>
      <c r="J24"/>
      <c r="K24"/>
      <c r="L24"/>
      <c r="M24"/>
      <c r="N24"/>
      <c r="O24"/>
      <c r="P24"/>
      <c r="Q24"/>
      <c r="R24"/>
      <c r="S24"/>
      <c r="T24"/>
      <c r="U24"/>
      <c r="V24"/>
      <c r="W24"/>
      <c r="X24"/>
      <c r="Y24"/>
      <c r="Z24"/>
      <c r="AA24"/>
    </row>
    <row r="25" spans="2:27" ht="14.5">
      <c r="B25"/>
      <c r="C25"/>
      <c r="D25"/>
      <c r="E25"/>
      <c r="F25"/>
      <c r="G25"/>
      <c r="H25"/>
      <c r="I25"/>
      <c r="J25"/>
      <c r="K25"/>
      <c r="L25"/>
      <c r="M25"/>
      <c r="N25"/>
      <c r="O25"/>
      <c r="P25"/>
      <c r="Q25"/>
      <c r="R25"/>
      <c r="S25"/>
      <c r="T25"/>
      <c r="U25"/>
      <c r="V25"/>
      <c r="W25"/>
      <c r="X25"/>
      <c r="Y25"/>
      <c r="Z25"/>
      <c r="AA25"/>
    </row>
    <row r="26" spans="2:27" ht="14.5">
      <c r="B26"/>
      <c r="C26"/>
      <c r="D26"/>
      <c r="E26"/>
      <c r="F26"/>
      <c r="G26"/>
      <c r="H26"/>
      <c r="I26"/>
      <c r="J26"/>
      <c r="K26"/>
      <c r="L26"/>
      <c r="M26"/>
      <c r="N26"/>
      <c r="O26"/>
      <c r="P26"/>
      <c r="Q26"/>
      <c r="R26"/>
      <c r="S26"/>
      <c r="T26"/>
      <c r="U26"/>
      <c r="V26"/>
      <c r="W26"/>
      <c r="X26"/>
      <c r="Y26"/>
      <c r="Z26"/>
      <c r="AA26"/>
    </row>
    <row r="27" spans="2:27" ht="14.5">
      <c r="B27"/>
      <c r="C27"/>
      <c r="D27"/>
      <c r="E27"/>
      <c r="F27"/>
      <c r="G27"/>
      <c r="H27"/>
      <c r="I27"/>
      <c r="J27"/>
      <c r="K27"/>
      <c r="L27"/>
      <c r="M27"/>
      <c r="N27"/>
      <c r="O27"/>
      <c r="P27"/>
      <c r="Q27"/>
      <c r="R27"/>
      <c r="S27"/>
      <c r="T27"/>
      <c r="U27"/>
      <c r="V27"/>
      <c r="W27"/>
      <c r="X27"/>
      <c r="Y27"/>
      <c r="Z27"/>
      <c r="AA27"/>
    </row>
    <row r="28" spans="2:27" ht="14.5">
      <c r="B28"/>
      <c r="C28"/>
      <c r="D28"/>
      <c r="E28"/>
      <c r="F28"/>
      <c r="G28"/>
      <c r="H28"/>
      <c r="I28"/>
      <c r="J28"/>
      <c r="K28"/>
      <c r="L28"/>
      <c r="M28"/>
      <c r="N28"/>
      <c r="O28"/>
      <c r="P28"/>
      <c r="Q28"/>
      <c r="R28"/>
      <c r="S28"/>
      <c r="T28"/>
      <c r="U28"/>
      <c r="V28"/>
      <c r="W28"/>
      <c r="X28"/>
      <c r="Y28"/>
      <c r="Z28"/>
      <c r="AA28"/>
    </row>
    <row r="29" spans="2:27" ht="14.5">
      <c r="B29"/>
      <c r="C29"/>
      <c r="D29"/>
      <c r="E29"/>
      <c r="F29"/>
      <c r="G29"/>
      <c r="H29"/>
      <c r="I29"/>
      <c r="J29"/>
      <c r="K29"/>
      <c r="L29"/>
      <c r="M29"/>
      <c r="N29"/>
      <c r="O29"/>
      <c r="P29"/>
      <c r="Q29"/>
      <c r="R29"/>
      <c r="S29"/>
      <c r="T29"/>
      <c r="U29"/>
      <c r="V29"/>
      <c r="W29"/>
      <c r="X29"/>
      <c r="Y29"/>
      <c r="Z29"/>
      <c r="AA29"/>
    </row>
    <row r="30" spans="2:27" ht="14.5">
      <c r="B30"/>
      <c r="C30"/>
      <c r="D30"/>
      <c r="E30"/>
      <c r="F30"/>
      <c r="G30"/>
      <c r="H30"/>
      <c r="I30"/>
      <c r="J30"/>
      <c r="K30"/>
      <c r="L30"/>
      <c r="M30"/>
      <c r="N30"/>
      <c r="O30"/>
      <c r="P30"/>
      <c r="Q30"/>
      <c r="R30"/>
      <c r="S30"/>
      <c r="T30"/>
      <c r="U30"/>
      <c r="V30"/>
      <c r="W30"/>
      <c r="X30"/>
      <c r="Y30"/>
      <c r="Z30"/>
      <c r="AA30"/>
    </row>
    <row r="31" spans="2:27" ht="14.5">
      <c r="B31"/>
      <c r="C31"/>
      <c r="D31"/>
      <c r="E31"/>
      <c r="F31"/>
      <c r="G31"/>
      <c r="H31"/>
      <c r="I31"/>
      <c r="J31"/>
      <c r="K31"/>
      <c r="L31"/>
      <c r="M31"/>
      <c r="N31"/>
      <c r="O31"/>
      <c r="P31"/>
      <c r="Q31"/>
      <c r="R31"/>
      <c r="S31"/>
      <c r="T31"/>
      <c r="U31"/>
      <c r="V31"/>
      <c r="W31"/>
      <c r="X31"/>
      <c r="Y31"/>
      <c r="Z31"/>
      <c r="AA31"/>
    </row>
    <row r="32" spans="2:27" ht="14.5">
      <c r="B32"/>
      <c r="C32"/>
      <c r="D32"/>
      <c r="E32"/>
      <c r="F32"/>
      <c r="G32"/>
      <c r="H32"/>
      <c r="I32"/>
      <c r="J32"/>
      <c r="K32"/>
      <c r="L32"/>
      <c r="M32"/>
      <c r="N32"/>
      <c r="O32"/>
      <c r="P32"/>
      <c r="Q32"/>
      <c r="R32"/>
      <c r="S32"/>
      <c r="T32"/>
      <c r="U32"/>
      <c r="V32"/>
      <c r="W32"/>
      <c r="X32"/>
      <c r="Y32"/>
      <c r="Z32"/>
      <c r="AA32"/>
    </row>
    <row r="33" spans="2:27" ht="14.5">
      <c r="B33"/>
      <c r="C33"/>
      <c r="D33"/>
      <c r="E33"/>
      <c r="F33"/>
      <c r="G33"/>
      <c r="H33"/>
      <c r="I33"/>
      <c r="J33"/>
      <c r="K33"/>
      <c r="L33"/>
      <c r="M33"/>
      <c r="N33"/>
      <c r="O33"/>
      <c r="P33"/>
      <c r="Q33"/>
      <c r="R33"/>
      <c r="S33"/>
      <c r="T33"/>
      <c r="U33"/>
      <c r="V33"/>
      <c r="W33"/>
      <c r="X33"/>
      <c r="Y33"/>
      <c r="Z33"/>
      <c r="AA33"/>
    </row>
    <row r="34" spans="2:27" ht="14.5">
      <c r="B34"/>
      <c r="C34"/>
      <c r="D34"/>
      <c r="E34"/>
      <c r="F34"/>
      <c r="G34"/>
      <c r="H34"/>
      <c r="I34"/>
      <c r="J34"/>
      <c r="K34"/>
      <c r="L34"/>
      <c r="M34"/>
      <c r="N34"/>
      <c r="O34"/>
      <c r="P34"/>
      <c r="Q34"/>
      <c r="R34"/>
      <c r="S34"/>
      <c r="T34"/>
      <c r="U34"/>
      <c r="V34"/>
      <c r="W34"/>
      <c r="X34"/>
      <c r="Y34"/>
      <c r="Z34"/>
      <c r="AA34"/>
    </row>
    <row r="35" spans="2:27" ht="14.5">
      <c r="B35"/>
      <c r="C35"/>
      <c r="D35"/>
      <c r="E35"/>
      <c r="F35"/>
      <c r="G35"/>
      <c r="H35"/>
      <c r="I35"/>
      <c r="J35"/>
      <c r="K35"/>
      <c r="L35"/>
      <c r="M35"/>
      <c r="N35"/>
      <c r="O35"/>
      <c r="P35"/>
      <c r="Q35"/>
      <c r="R35"/>
      <c r="S35"/>
      <c r="T35"/>
      <c r="U35"/>
      <c r="V35"/>
      <c r="W35"/>
      <c r="X35"/>
      <c r="Y35"/>
      <c r="Z35"/>
      <c r="AA35"/>
    </row>
    <row r="36" spans="2:27" ht="14.5">
      <c r="B36"/>
      <c r="C36"/>
      <c r="D36"/>
      <c r="E36"/>
      <c r="F36"/>
      <c r="G36"/>
      <c r="H36"/>
      <c r="I36"/>
      <c r="J36"/>
      <c r="K36"/>
      <c r="L36"/>
      <c r="M36"/>
      <c r="N36"/>
      <c r="O36"/>
      <c r="P36"/>
      <c r="Q36"/>
      <c r="R36"/>
      <c r="S36"/>
      <c r="T36"/>
      <c r="U36"/>
      <c r="V36"/>
      <c r="W36"/>
      <c r="X36"/>
      <c r="Y36"/>
      <c r="Z36"/>
      <c r="AA36"/>
    </row>
    <row r="37" spans="2:27" ht="14.5">
      <c r="B37"/>
      <c r="C37"/>
      <c r="D37"/>
      <c r="E37"/>
      <c r="F37"/>
      <c r="G37"/>
      <c r="H37"/>
      <c r="I37"/>
      <c r="J37"/>
      <c r="K37"/>
      <c r="L37"/>
      <c r="M37"/>
      <c r="N37"/>
      <c r="O37"/>
      <c r="P37"/>
      <c r="Q37"/>
      <c r="R37"/>
      <c r="S37"/>
      <c r="T37"/>
      <c r="U37"/>
      <c r="V37"/>
      <c r="W37"/>
      <c r="X37"/>
      <c r="Y37"/>
      <c r="Z37"/>
      <c r="AA37"/>
    </row>
    <row r="38" spans="2:27" ht="14.5">
      <c r="B38"/>
      <c r="C38"/>
      <c r="D38"/>
      <c r="E38"/>
      <c r="F38"/>
      <c r="G38"/>
      <c r="H38"/>
      <c r="I38"/>
      <c r="J38"/>
      <c r="K38"/>
      <c r="L38"/>
      <c r="M38"/>
      <c r="N38"/>
      <c r="O38"/>
      <c r="P38"/>
      <c r="Q38"/>
      <c r="R38"/>
      <c r="S38"/>
      <c r="T38"/>
      <c r="U38"/>
      <c r="V38"/>
      <c r="W38"/>
      <c r="X38"/>
      <c r="Y38"/>
      <c r="Z38"/>
      <c r="AA38"/>
    </row>
    <row r="39" spans="2:27" ht="14.5">
      <c r="B39"/>
      <c r="C39"/>
      <c r="D39"/>
      <c r="E39"/>
      <c r="F39"/>
      <c r="G39"/>
      <c r="H39"/>
      <c r="I39"/>
      <c r="J39"/>
      <c r="K39"/>
      <c r="L39"/>
      <c r="M39"/>
      <c r="N39"/>
      <c r="O39"/>
      <c r="P39"/>
      <c r="Q39"/>
      <c r="R39"/>
      <c r="S39"/>
      <c r="T39"/>
      <c r="U39"/>
      <c r="V39"/>
      <c r="W39"/>
      <c r="X39"/>
      <c r="Y39"/>
      <c r="Z39"/>
      <c r="AA39"/>
    </row>
    <row r="40" spans="2:27" ht="14.5">
      <c r="B40"/>
      <c r="C40"/>
      <c r="D40"/>
      <c r="E40"/>
      <c r="F40"/>
      <c r="G40"/>
      <c r="H40"/>
      <c r="I40"/>
      <c r="J40"/>
      <c r="K40"/>
      <c r="L40"/>
      <c r="M40"/>
      <c r="N40"/>
      <c r="O40"/>
      <c r="P40"/>
      <c r="Q40"/>
      <c r="R40"/>
      <c r="S40"/>
      <c r="T40"/>
      <c r="U40"/>
      <c r="V40"/>
      <c r="W40"/>
      <c r="X40"/>
      <c r="Y40"/>
      <c r="Z40"/>
      <c r="AA40"/>
    </row>
    <row r="41" spans="2:27" ht="14.5">
      <c r="B41"/>
      <c r="C41"/>
      <c r="D41"/>
      <c r="E41"/>
      <c r="F41"/>
      <c r="G41"/>
      <c r="H41"/>
      <c r="I41"/>
      <c r="J41"/>
      <c r="K41"/>
      <c r="L41"/>
      <c r="M41"/>
      <c r="N41"/>
      <c r="O41"/>
      <c r="P41"/>
      <c r="Q41"/>
      <c r="R41"/>
      <c r="S41"/>
      <c r="T41"/>
      <c r="U41"/>
      <c r="V41"/>
      <c r="W41"/>
      <c r="X41"/>
      <c r="Y41"/>
      <c r="Z41"/>
      <c r="AA41"/>
    </row>
    <row r="42" spans="2:27" ht="14.5">
      <c r="B42"/>
      <c r="C42"/>
      <c r="D42"/>
      <c r="E42"/>
      <c r="F42"/>
      <c r="G42"/>
      <c r="H42"/>
      <c r="I42"/>
      <c r="J42"/>
      <c r="K42"/>
      <c r="L42"/>
      <c r="M42"/>
      <c r="N42"/>
      <c r="O42"/>
      <c r="P42"/>
      <c r="Q42"/>
      <c r="R42"/>
      <c r="S42"/>
      <c r="T42"/>
      <c r="U42"/>
      <c r="V42"/>
      <c r="W42"/>
      <c r="X42"/>
      <c r="Y42"/>
      <c r="Z42"/>
      <c r="AA42"/>
    </row>
    <row r="43" spans="2:27" ht="14.5">
      <c r="B43"/>
      <c r="C43"/>
      <c r="D43"/>
      <c r="E43"/>
      <c r="F43"/>
      <c r="G43"/>
      <c r="H43"/>
      <c r="I43"/>
      <c r="J43"/>
      <c r="K43"/>
      <c r="L43"/>
      <c r="M43"/>
      <c r="N43"/>
      <c r="O43"/>
      <c r="P43"/>
      <c r="Q43"/>
      <c r="R43"/>
      <c r="S43"/>
      <c r="T43"/>
      <c r="U43"/>
      <c r="V43"/>
      <c r="W43"/>
      <c r="X43"/>
      <c r="Y43"/>
      <c r="Z43"/>
      <c r="AA43"/>
    </row>
    <row r="44" spans="2:27" ht="14.5">
      <c r="B44"/>
      <c r="C44"/>
      <c r="D44"/>
      <c r="E44"/>
      <c r="F44"/>
      <c r="G44"/>
      <c r="H44"/>
      <c r="I44"/>
      <c r="J44"/>
      <c r="K44"/>
      <c r="L44"/>
      <c r="M44"/>
      <c r="N44"/>
      <c r="O44"/>
      <c r="P44"/>
      <c r="Q44"/>
      <c r="R44"/>
      <c r="S44"/>
      <c r="T44"/>
      <c r="U44"/>
      <c r="V44"/>
      <c r="W44"/>
      <c r="X44"/>
      <c r="Y44"/>
      <c r="Z44"/>
      <c r="AA44"/>
    </row>
    <row r="45" spans="2:27" ht="14.5">
      <c r="B45"/>
      <c r="C45"/>
      <c r="D45"/>
      <c r="E45"/>
      <c r="F45"/>
      <c r="G45"/>
      <c r="H45"/>
      <c r="I45"/>
      <c r="J45"/>
      <c r="K45"/>
      <c r="L45"/>
      <c r="M45"/>
      <c r="N45"/>
      <c r="O45"/>
      <c r="P45"/>
      <c r="Q45"/>
      <c r="R45"/>
      <c r="S45"/>
      <c r="T45"/>
      <c r="U45"/>
      <c r="V45"/>
      <c r="W45"/>
      <c r="X45"/>
      <c r="Y45"/>
      <c r="Z45"/>
      <c r="AA45"/>
    </row>
    <row r="46" spans="2:27" ht="14.5">
      <c r="B46"/>
      <c r="C46"/>
      <c r="D46"/>
      <c r="E46"/>
      <c r="F46"/>
      <c r="G46"/>
      <c r="H46"/>
      <c r="I46"/>
      <c r="J4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c r="AA54"/>
    </row>
    <row r="55" spans="2:27" ht="14.5">
      <c r="B55"/>
      <c r="C55"/>
      <c r="D55"/>
      <c r="E55"/>
      <c r="F55"/>
      <c r="G55"/>
      <c r="H55"/>
      <c r="I55"/>
      <c r="J55"/>
      <c r="K55"/>
      <c r="L55"/>
      <c r="M55"/>
      <c r="N55"/>
      <c r="O55"/>
      <c r="P55"/>
      <c r="Q55"/>
      <c r="R55"/>
      <c r="S55"/>
      <c r="T55"/>
      <c r="U55"/>
      <c r="V55"/>
      <c r="W55"/>
      <c r="X55"/>
      <c r="Y55"/>
      <c r="Z55"/>
      <c r="AA55"/>
    </row>
    <row r="56" spans="2:27" ht="14.5">
      <c r="B56"/>
      <c r="C56"/>
      <c r="D56"/>
      <c r="E56"/>
      <c r="F56"/>
      <c r="G56"/>
      <c r="H56"/>
      <c r="I56"/>
      <c r="J56"/>
      <c r="K56"/>
      <c r="L56"/>
      <c r="M56"/>
      <c r="N56"/>
      <c r="O56"/>
      <c r="P56"/>
      <c r="Q56"/>
      <c r="R56"/>
      <c r="S56"/>
      <c r="T56"/>
      <c r="U56"/>
      <c r="V56"/>
      <c r="W56"/>
      <c r="X56"/>
      <c r="Y56"/>
      <c r="Z56"/>
      <c r="AA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26" ht="14.5">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18" sqref="A18"/>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50</v>
      </c>
      <c r="B1" s="1"/>
    </row>
    <row r="2" spans="1:2" ht="25.75" customHeight="1">
      <c r="A2" s="1" t="s">
        <v>51</v>
      </c>
    </row>
    <row r="3" spans="1:2" ht="25.75" customHeight="1">
      <c r="A3" s="1" t="s">
        <v>49</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Info</vt:lpstr>
      <vt:lpstr>Product</vt:lpstr>
      <vt:lpstr>DC Product</vt:lpstr>
      <vt:lpstr>Ethernet Optical Network</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Albert Wang</cp:lastModifiedBy>
  <dcterms:created xsi:type="dcterms:W3CDTF">2015-06-05T18:17:20Z</dcterms:created>
  <dcterms:modified xsi:type="dcterms:W3CDTF">2025-09-22T09:22:23Z</dcterms:modified>
</cp:coreProperties>
</file>