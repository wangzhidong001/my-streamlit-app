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Work Documents\WLAN\2025Q4\Delivery\"/>
    </mc:Choice>
  </mc:AlternateContent>
  <xr:revisionPtr revIDLastSave="0" documentId="13_ncr:1_{BED3D729-10D4-4E08-97B2-28605F4B6C0A}" xr6:coauthVersionLast="47" xr6:coauthVersionMax="47" xr10:uidLastSave="{00000000-0000-0000-0000-000000000000}"/>
  <bookViews>
    <workbookView xWindow="-110" yWindow="-110" windowWidth="19420" windowHeight="10300"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concurrentCalc="0"/>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<sst xmlns="http://schemas.openxmlformats.org/spreadsheetml/2006/main" count="50" uniqueCount="49">
  <si>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Year</t>
  </si>
  <si>
    <t>2022Q1</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</si>
  <si>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</si>
  <si>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</si>
  <si>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</si>
  <si>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</si>
  <si>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</si>
  <si>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</si>
  <si>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</si>
  <si>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</si>
  <si>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</si>
  <si>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</si>
  <si>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</si>
  <si>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</si>
  <si>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</si>
  <si>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</si>
  <si>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</si>
  <si>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</si>
  <si>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</si>
  <si>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</si>
  <si>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</si>
  <si>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</si>
  <si>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</si>
  <si>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</si>
  <si>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</si>
  <si>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WLAN</t>
  </si>
  <si>
    <t>Grand Total</t>
  </si>
  <si>
    <t>Publish Date</t>
  </si>
  <si>
    <t>Sum of Vendor Revenue (CNY M)</t>
  </si>
  <si>
    <t>建筑</t>
  </si>
  <si>
    <t>流通</t>
  </si>
  <si>
    <t>教育</t>
  </si>
  <si>
    <t>金融</t>
  </si>
  <si>
    <t>政府</t>
  </si>
  <si>
    <t>医疗</t>
  </si>
  <si>
    <t>互联网</t>
  </si>
  <si>
    <t>制造</t>
  </si>
  <si>
    <t>媒体</t>
  </si>
  <si>
    <t>能源</t>
  </si>
  <si>
    <t>服务</t>
  </si>
  <si>
    <t>交通</t>
  </si>
  <si>
    <t>公共事业</t>
  </si>
  <si>
    <t>通信</t>
  </si>
  <si>
    <t>行业大类</t>
  </si>
  <si>
    <t>2025Q3</t>
  </si>
  <si>
    <t>IDC China Quarterly WLAN Forecast-Segmentation, 2025Q4</t>
  </si>
  <si>
    <t>2025Q4 Forecast Release</t>
  </si>
  <si>
    <t>2025Q4</t>
  </si>
  <si>
    <t>Publication Date: March 24,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</si>
</sst>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0000000"/>
    <numFmt numFmtId="166" formatCode="0.0%"/>
  </numFmts>
  <fonts count="15">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18">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165" fontId="0" fillId="0" borderId="0" xfId="0" applyNumberFormat="1"/>
    <xf numFmtId="166" fontId="0" fillId="0" borderId="0" xfId="7" applyNumberFormat="1" applyFont="1"/>
    <xf numFmtId="2" fontId="10" fillId="0" borderId="0" xfId="0" applyNumberFormat="1" applyFont="1" applyAlignment="1">
      <alignment vertical="center"/>
    </xf>
  </cellXfs>
  <cellStyles count="8">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Percent" xfId="7" builtinId="5"/>
  </cellStyles>
  <dxfs count="22">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24,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Forecast-Segmentation,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Forecast Release</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79103" y="95249"/>
          <a:ext cx="13826754"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Forecast Release</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Forecast-Segmentation,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24,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0687"/>
          <a:ext cx="13847536"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145754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Forecast Release</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Forecast-Segmentation,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100.732670717596" missingItemsLimit="0" createdVersion="8" refreshedVersion="8" minRefreshableVersion="3" recordCount="112" xr:uid="{A91ECF97-975E-4929-9881-0D09319E6A94}">
  <cacheSource type="worksheet">
    <worksheetSource name="ProductDB"/>
  </cacheSource>
  <cacheFields count="11">
    <cacheField name="Country" numFmtId="0">
      <sharedItems count="1">
        <s v="PRC"/>
      </sharedItems>
    </cacheField>
    <cacheField name="Year" numFmtId="0">
      <sharedItems containsSemiMixedTypes="0" containsString="0" containsNumber="1" containsInteger="1" minValue="2023" maxValue="2030" count="8">
        <n v="2023"/>
        <n v="2024"/>
        <n v="2025"/>
        <n v="2026"/>
        <n v="2027"/>
        <n v="2028"/>
        <n v="2029"/>
        <n v="2030"/>
      </sharedItems>
    </cacheField>
    <cacheField name="Technology" numFmtId="0">
      <sharedItems count="1">
        <s v="WLAN"/>
      </sharedItems>
    </cacheField>
    <cacheField name="Deployment" numFmtId="0">
      <sharedItems/>
    </cacheField>
    <cacheField name="Vertical Class" numFmtId="0">
      <sharedItems/>
    </cacheField>
    <cacheField name="行业大类" numFmtId="0">
      <sharedItems count="14">
        <s v="建筑"/>
        <s v="流通"/>
        <s v="教育"/>
        <s v="金融"/>
        <s v="政府"/>
        <s v="医疗"/>
        <s v="互联网"/>
        <s v="制造"/>
        <s v="媒体"/>
        <s v="能源"/>
        <s v="服务"/>
        <s v="交通"/>
        <s v="公共事业"/>
        <s v="通信"/>
      </sharedItems>
    </cacheField>
    <cacheField name="Vendor Revenue (CNY M)" numFmtId="0">
      <sharedItems containsSemiMixedTypes="0" containsString="0" containsNumber="1" minValue="36.59666215" maxValue="3171.5889461699999"/>
    </cacheField>
    <cacheField name="Value (CNY M)" numFmtId="0">
      <sharedItems containsSemiMixedTypes="0" containsString="0" containsNumber="1" minValue="40.537057840000003" maxValue="3520.1979903800002"/>
    </cacheField>
    <cacheField name="Vendor Revenue (USD M)" numFmtId="0">
      <sharedItems containsSemiMixedTypes="0" containsString="0" containsNumber="1" minValue="5.0891154900000002" maxValue="446.69737076000001"/>
    </cacheField>
    <cacheField name="Value (USD M)" numFmtId="0">
      <sharedItems containsSemiMixedTypes="0" containsString="0" containsNumber="1" minValue="5.63706979" maxValue="495.79145046000002"/>
    </cacheField>
    <cacheField name="Publish Date" numFmtId="0">
      <sharedItems count="1">
        <s v="2025Q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x v="0"/>
    <s v="Enterprise"/>
    <s v="Construction"/>
    <x v="0"/>
    <n v="42.545632320000003"/>
    <n v="47.34844889"/>
    <n v="5.99569989"/>
    <n v="6.6725111500000001"/>
    <x v="0"/>
  </r>
  <r>
    <x v="0"/>
    <x v="0"/>
    <x v="0"/>
    <s v="Enterprise"/>
    <s v="Distribution"/>
    <x v="1"/>
    <n v="476.64724433999999"/>
    <n v="530.67068647999997"/>
    <n v="67.331539449999994"/>
    <n v="74.959949910000006"/>
    <x v="0"/>
  </r>
  <r>
    <x v="0"/>
    <x v="0"/>
    <x v="0"/>
    <s v="Enterprise"/>
    <s v="Education"/>
    <x v="2"/>
    <n v="3171.5889461699999"/>
    <n v="3520.1979903800002"/>
    <n v="446.69737076000001"/>
    <n v="495.79145046000002"/>
    <x v="0"/>
  </r>
  <r>
    <x v="0"/>
    <x v="0"/>
    <x v="0"/>
    <s v="Enterprise"/>
    <s v="Finance"/>
    <x v="3"/>
    <n v="320.24581685999999"/>
    <n v="366.38400911000002"/>
    <n v="45.098275360000002"/>
    <n v="51.587280110000002"/>
    <x v="0"/>
  </r>
  <r>
    <x v="0"/>
    <x v="0"/>
    <x v="0"/>
    <s v="Enterprise"/>
    <s v="Government"/>
    <x v="4"/>
    <n v="526.29621892"/>
    <n v="595.27039077999996"/>
    <n v="73.950138999999993"/>
    <n v="83.6368382"/>
    <x v="0"/>
  </r>
  <r>
    <x v="0"/>
    <x v="0"/>
    <x v="0"/>
    <s v="Enterprise"/>
    <s v="Health"/>
    <x v="5"/>
    <n v="974.04716807"/>
    <n v="1085.0703347799999"/>
    <n v="137.05691400000001"/>
    <n v="152.67536135"/>
    <x v="0"/>
  </r>
  <r>
    <x v="0"/>
    <x v="0"/>
    <x v="0"/>
    <s v="Enterprise"/>
    <s v="Internet"/>
    <x v="6"/>
    <n v="97.452905310000006"/>
    <n v="109.14187827000001"/>
    <n v="13.71305078"/>
    <n v="15.35701021"/>
    <x v="0"/>
  </r>
  <r>
    <x v="0"/>
    <x v="0"/>
    <x v="0"/>
    <s v="Enterprise"/>
    <s v="Manufacturing"/>
    <x v="7"/>
    <n v="1420.67589122"/>
    <n v="1587.95288585"/>
    <n v="200.37961788000001"/>
    <n v="223.96666242000001"/>
    <x v="0"/>
  </r>
  <r>
    <x v="0"/>
    <x v="0"/>
    <x v="0"/>
    <s v="Enterprise"/>
    <s v="Media"/>
    <x v="8"/>
    <n v="52.10444777"/>
    <n v="58.063748160000003"/>
    <n v="7.3720245699999998"/>
    <n v="8.2147732900000001"/>
    <x v="0"/>
  </r>
  <r>
    <x v="0"/>
    <x v="0"/>
    <x v="0"/>
    <s v="Enterprise"/>
    <s v="Resource Industries"/>
    <x v="9"/>
    <n v="146.08382839999999"/>
    <n v="163.19542404000001"/>
    <n v="20.553175509999999"/>
    <n v="22.96009784"/>
    <x v="0"/>
  </r>
  <r>
    <x v="0"/>
    <x v="0"/>
    <x v="0"/>
    <s v="Enterprise"/>
    <s v="Services"/>
    <x v="10"/>
    <n v="1029.2840637500001"/>
    <n v="1142.64446916"/>
    <n v="145.56448236"/>
    <n v="161.59291525"/>
    <x v="0"/>
  </r>
  <r>
    <x v="0"/>
    <x v="0"/>
    <x v="0"/>
    <s v="Enterprise"/>
    <s v="Transportation"/>
    <x v="11"/>
    <n v="257.94697919999999"/>
    <n v="287.46028346999998"/>
    <n v="36.336282009999998"/>
    <n v="40.492950540000002"/>
    <x v="0"/>
  </r>
  <r>
    <x v="0"/>
    <x v="0"/>
    <x v="0"/>
    <s v="Enterprise"/>
    <s v="Utilities"/>
    <x v="12"/>
    <n v="147.01220594"/>
    <n v="164.78260854000001"/>
    <n v="20.69363628"/>
    <n v="23.194733580000001"/>
    <x v="0"/>
  </r>
  <r>
    <x v="0"/>
    <x v="0"/>
    <x v="0"/>
    <s v="Service Provider"/>
    <s v="Telecom"/>
    <x v="13"/>
    <n v="45.76025112"/>
    <n v="50.29217371"/>
    <n v="6.4628051600000003"/>
    <n v="7.10291462"/>
    <x v="0"/>
  </r>
  <r>
    <x v="0"/>
    <x v="1"/>
    <x v="0"/>
    <s v="Enterprise"/>
    <s v="Construction"/>
    <x v="0"/>
    <n v="38.892279240000001"/>
    <n v="43.341342580000003"/>
    <n v="5.4059943400000003"/>
    <n v="6.0243306399999996"/>
    <x v="0"/>
  </r>
  <r>
    <x v="0"/>
    <x v="1"/>
    <x v="0"/>
    <s v="Enterprise"/>
    <s v="Distribution"/>
    <x v="1"/>
    <n v="420.60184512000001"/>
    <n v="467.66530203999997"/>
    <n v="58.511047230000003"/>
    <n v="65.058114889999999"/>
    <x v="0"/>
  </r>
  <r>
    <x v="0"/>
    <x v="1"/>
    <x v="0"/>
    <s v="Enterprise"/>
    <s v="Education"/>
    <x v="2"/>
    <n v="2554.5272678000001"/>
    <n v="2834.83575303"/>
    <n v="355.34349187999999"/>
    <n v="394.3349341"/>
    <x v="0"/>
  </r>
  <r>
    <x v="0"/>
    <x v="1"/>
    <x v="0"/>
    <s v="Enterprise"/>
    <s v="Finance"/>
    <x v="3"/>
    <n v="263.40513986000002"/>
    <n v="300.97346983"/>
    <n v="36.637035330000003"/>
    <n v="41.861954969999999"/>
    <x v="0"/>
  </r>
  <r>
    <x v="0"/>
    <x v="1"/>
    <x v="0"/>
    <s v="Enterprise"/>
    <s v="Government"/>
    <x v="4"/>
    <n v="435.63786002000001"/>
    <n v="491.82920485"/>
    <n v="60.56416857"/>
    <n v="68.375754569999998"/>
    <x v="0"/>
  </r>
  <r>
    <x v="0"/>
    <x v="1"/>
    <x v="0"/>
    <s v="Enterprise"/>
    <s v="Health"/>
    <x v="5"/>
    <n v="853.52408519999994"/>
    <n v="952.59964444000002"/>
    <n v="118.71653074"/>
    <n v="132.49689000000001"/>
    <x v="0"/>
  </r>
  <r>
    <x v="0"/>
    <x v="1"/>
    <x v="0"/>
    <s v="Enterprise"/>
    <s v="Internet"/>
    <x v="6"/>
    <n v="90.843434759999994"/>
    <n v="101.39486629"/>
    <n v="12.63608226"/>
    <n v="14.10378768"/>
    <x v="0"/>
  </r>
  <r>
    <x v="0"/>
    <x v="1"/>
    <x v="0"/>
    <s v="Enterprise"/>
    <s v="Manufacturing"/>
    <x v="7"/>
    <n v="1358.2653383300001"/>
    <n v="1517.16105509"/>
    <n v="188.78624563"/>
    <n v="210.8729601"/>
    <x v="0"/>
  </r>
  <r>
    <x v="0"/>
    <x v="1"/>
    <x v="0"/>
    <s v="Enterprise"/>
    <s v="Media"/>
    <x v="8"/>
    <n v="45.287885680000002"/>
    <n v="50.401094329999999"/>
    <n v="6.3014186800000003"/>
    <n v="7.0128652100000002"/>
    <x v="0"/>
  </r>
  <r>
    <x v="0"/>
    <x v="1"/>
    <x v="0"/>
    <s v="Enterprise"/>
    <s v="Resource Industries"/>
    <x v="9"/>
    <n v="146.04257111000001"/>
    <n v="162.60604964000001"/>
    <n v="20.311059950000001"/>
    <n v="22.614666459999999"/>
    <x v="0"/>
  </r>
  <r>
    <x v="0"/>
    <x v="1"/>
    <x v="0"/>
    <s v="Enterprise"/>
    <s v="Services"/>
    <x v="10"/>
    <n v="929.23191527999995"/>
    <n v="1030.88670957"/>
    <n v="129.29323564000001"/>
    <n v="143.43736715"/>
    <x v="0"/>
  </r>
  <r>
    <x v="0"/>
    <x v="1"/>
    <x v="0"/>
    <s v="Enterprise"/>
    <s v="Transportation"/>
    <x v="11"/>
    <n v="249.49916189999999"/>
    <n v="277.93064944999998"/>
    <n v="34.702636759999997"/>
    <n v="38.65694534"/>
    <x v="0"/>
  </r>
  <r>
    <x v="0"/>
    <x v="1"/>
    <x v="0"/>
    <s v="Enterprise"/>
    <s v="Utilities"/>
    <x v="12"/>
    <n v="142.69039104000001"/>
    <n v="159.46839797999999"/>
    <n v="19.844855809999999"/>
    <n v="22.178140800000001"/>
    <x v="0"/>
  </r>
  <r>
    <x v="0"/>
    <x v="1"/>
    <x v="0"/>
    <s v="Service Provider"/>
    <s v="Telecom"/>
    <x v="13"/>
    <n v="42.46233582"/>
    <n v="46.654152349999997"/>
    <n v="5.9071571799999996"/>
    <n v="6.4902867899999999"/>
    <x v="0"/>
  </r>
  <r>
    <x v="0"/>
    <x v="2"/>
    <x v="0"/>
    <s v="Enterprise"/>
    <s v="Internet"/>
    <x v="6"/>
    <n v="114.83274681"/>
    <n v="127.72468824000001"/>
    <n v="16.000574220000001"/>
    <n v="17.797415390000001"/>
    <x v="0"/>
  </r>
  <r>
    <x v="0"/>
    <x v="2"/>
    <x v="0"/>
    <s v="Enterprise"/>
    <s v="Transportation"/>
    <x v="11"/>
    <n v="230.03212164000001"/>
    <n v="256.99163855"/>
    <n v="32.039106019999998"/>
    <n v="35.795584529999999"/>
    <x v="0"/>
  </r>
  <r>
    <x v="0"/>
    <x v="2"/>
    <x v="0"/>
    <s v="Enterprise"/>
    <s v="Utilities"/>
    <x v="12"/>
    <n v="140.03053646000001"/>
    <n v="158.19943841"/>
    <n v="19.53747542"/>
    <n v="22.074333150000001"/>
    <x v="0"/>
  </r>
  <r>
    <x v="0"/>
    <x v="2"/>
    <x v="0"/>
    <s v="Enterprise"/>
    <s v="Manufacturing"/>
    <x v="7"/>
    <n v="1262.52506139"/>
    <n v="1404.9046294100001"/>
    <n v="175.82532323000001"/>
    <n v="195.65535518999999"/>
    <x v="0"/>
  </r>
  <r>
    <x v="0"/>
    <x v="2"/>
    <x v="0"/>
    <s v="Enterprise"/>
    <s v="Health"/>
    <x v="5"/>
    <n v="816.74665994999998"/>
    <n v="911.72311988000001"/>
    <n v="113.73765126000001"/>
    <n v="126.96510008"/>
    <x v="0"/>
  </r>
  <r>
    <x v="0"/>
    <x v="2"/>
    <x v="0"/>
    <s v="Enterprise"/>
    <s v="Media"/>
    <x v="8"/>
    <n v="36.59666215"/>
    <n v="40.537057840000003"/>
    <n v="5.0891154900000002"/>
    <n v="5.63706979"/>
    <x v="0"/>
  </r>
  <r>
    <x v="0"/>
    <x v="2"/>
    <x v="0"/>
    <s v="Enterprise"/>
    <s v="Construction"/>
    <x v="0"/>
    <n v="49.969742220000001"/>
    <n v="55.441437039999997"/>
    <n v="6.9531680199999997"/>
    <n v="7.7145403999999997"/>
    <x v="0"/>
  </r>
  <r>
    <x v="0"/>
    <x v="2"/>
    <x v="0"/>
    <s v="Enterprise"/>
    <s v="Government"/>
    <x v="4"/>
    <n v="307.27908398"/>
    <n v="343.93899468000001"/>
    <n v="42.811339340000004"/>
    <n v="47.920238529999999"/>
    <x v="0"/>
  </r>
  <r>
    <x v="0"/>
    <x v="2"/>
    <x v="0"/>
    <s v="Enterprise"/>
    <s v="Education"/>
    <x v="2"/>
    <n v="2105.62400493"/>
    <n v="2336.1704949300001"/>
    <n v="293.33194603999999"/>
    <n v="325.45123222000001"/>
    <x v="0"/>
  </r>
  <r>
    <x v="0"/>
    <x v="2"/>
    <x v="0"/>
    <s v="Enterprise"/>
    <s v="Services"/>
    <x v="10"/>
    <n v="994.29612779000001"/>
    <n v="1109.6401202500001"/>
    <n v="138.57164904000001"/>
    <n v="154.65153534999999"/>
    <x v="0"/>
  </r>
  <r>
    <x v="0"/>
    <x v="2"/>
    <x v="0"/>
    <s v="Enterprise"/>
    <s v="Distribution"/>
    <x v="1"/>
    <n v="447.13624886999997"/>
    <n v="496.67445593000002"/>
    <n v="62.240076989999999"/>
    <n v="69.136564039999996"/>
    <x v="0"/>
  </r>
  <r>
    <x v="0"/>
    <x v="2"/>
    <x v="0"/>
    <s v="Enterprise"/>
    <s v="Resource Industries"/>
    <x v="9"/>
    <n v="159.29278958"/>
    <n v="176.63922156000001"/>
    <n v="22.18210504"/>
    <n v="24.597464039999998"/>
    <x v="0"/>
  </r>
  <r>
    <x v="0"/>
    <x v="2"/>
    <x v="0"/>
    <s v="Service Provider"/>
    <s v="Telecom"/>
    <x v="13"/>
    <n v="214.72285663"/>
    <n v="238.13297582000001"/>
    <n v="29.797986680000001"/>
    <n v="33.046628079999998"/>
    <x v="0"/>
  </r>
  <r>
    <x v="0"/>
    <x v="2"/>
    <x v="0"/>
    <s v="Enterprise"/>
    <s v="Finance"/>
    <x v="3"/>
    <n v="219.32481135"/>
    <n v="247.63120391000001"/>
    <n v="30.531407349999999"/>
    <n v="34.472779520000003"/>
    <x v="0"/>
  </r>
  <r>
    <x v="0"/>
    <x v="3"/>
    <x v="0"/>
    <s v="Enterprise"/>
    <s v="Internet"/>
    <x v="6"/>
    <n v="119.28040976"/>
    <n v="132.91133288"/>
    <n v="16.82166526"/>
    <n v="18.743982819999999"/>
    <x v="0"/>
  </r>
  <r>
    <x v="0"/>
    <x v="3"/>
    <x v="0"/>
    <s v="Enterprise"/>
    <s v="Transportation"/>
    <x v="11"/>
    <n v="244.84682323999999"/>
    <n v="272.83700350999999"/>
    <n v="34.529821859999998"/>
    <n v="38.477171169999998"/>
    <x v="0"/>
  </r>
  <r>
    <x v="0"/>
    <x v="3"/>
    <x v="0"/>
    <s v="Enterprise"/>
    <s v="Utilities"/>
    <x v="12"/>
    <n v="150.86792377"/>
    <n v="168.12343827000001"/>
    <n v="21.27633295"/>
    <n v="23.709812920000001"/>
    <x v="0"/>
  </r>
  <r>
    <x v="0"/>
    <x v="3"/>
    <x v="0"/>
    <s v="Enterprise"/>
    <s v="Manufacturing"/>
    <x v="7"/>
    <n v="1318.21204863"/>
    <n v="1468.79917234"/>
    <n v="185.90246184"/>
    <n v="207.13919462000001"/>
    <x v="0"/>
  </r>
  <r>
    <x v="0"/>
    <x v="3"/>
    <x v="0"/>
    <s v="Enterprise"/>
    <s v="Health"/>
    <x v="5"/>
    <n v="857.59996922000005"/>
    <n v="955.62426947999995"/>
    <n v="120.94408158"/>
    <n v="134.76807808000001"/>
    <x v="0"/>
  </r>
  <r>
    <x v="0"/>
    <x v="3"/>
    <x v="0"/>
    <s v="Enterprise"/>
    <s v="Media"/>
    <x v="8"/>
    <n v="38.613670540000001"/>
    <n v="43.02724937"/>
    <n v="5.4455399800000004"/>
    <n v="6.0679703199999997"/>
    <x v="0"/>
  </r>
  <r>
    <x v="0"/>
    <x v="3"/>
    <x v="0"/>
    <s v="Enterprise"/>
    <s v="Construction"/>
    <x v="0"/>
    <n v="51.271702169999998"/>
    <n v="57.12947432"/>
    <n v="7.2306543300000001"/>
    <n v="8.0567537900000001"/>
    <x v="0"/>
  </r>
  <r>
    <x v="0"/>
    <x v="3"/>
    <x v="0"/>
    <s v="Enterprise"/>
    <s v="Government"/>
    <x v="4"/>
    <n v="320.41811939000002"/>
    <n v="357.05975296999998"/>
    <n v="45.18735607"/>
    <n v="50.354787129999998"/>
    <x v="0"/>
  </r>
  <r>
    <x v="0"/>
    <x v="3"/>
    <x v="0"/>
    <s v="Enterprise"/>
    <s v="Education"/>
    <x v="2"/>
    <n v="2215.21058047"/>
    <n v="2468.3852639500001"/>
    <n v="312.40277377000001"/>
    <n v="348.10704227999997"/>
    <x v="0"/>
  </r>
  <r>
    <x v="0"/>
    <x v="3"/>
    <x v="0"/>
    <s v="Enterprise"/>
    <s v="Services"/>
    <x v="10"/>
    <n v="1037.87546845"/>
    <n v="1156.4950542399999"/>
    <n v="146.36765373"/>
    <n v="163.09612548000001"/>
    <x v="0"/>
  </r>
  <r>
    <x v="0"/>
    <x v="3"/>
    <x v="0"/>
    <s v="Enterprise"/>
    <s v="Distribution"/>
    <x v="1"/>
    <n v="467.63890547"/>
    <n v="521.05642903"/>
    <n v="65.949346969999993"/>
    <n v="73.482618380000005"/>
    <x v="0"/>
  </r>
  <r>
    <x v="0"/>
    <x v="3"/>
    <x v="0"/>
    <s v="Enterprise"/>
    <s v="Resource Industries"/>
    <x v="9"/>
    <n v="170.35331205"/>
    <n v="189.82120649000001"/>
    <n v="24.02428359"/>
    <n v="26.76976715"/>
    <x v="0"/>
  </r>
  <r>
    <x v="0"/>
    <x v="3"/>
    <x v="0"/>
    <s v="Service Provider"/>
    <s v="Telecom"/>
    <x v="13"/>
    <n v="223.22485509000001"/>
    <n v="248.74096319"/>
    <n v="31.480557430000001"/>
    <n v="35.078997700000002"/>
    <x v="0"/>
  </r>
  <r>
    <x v="0"/>
    <x v="3"/>
    <x v="0"/>
    <s v="Enterprise"/>
    <s v="Finance"/>
    <x v="3"/>
    <n v="232.16127915000001"/>
    <n v="258.70875116000002"/>
    <n v="32.740827539999998"/>
    <n v="36.484717150000002"/>
    <x v="0"/>
  </r>
  <r>
    <x v="0"/>
    <x v="4"/>
    <x v="0"/>
    <s v="Enterprise"/>
    <s v="Internet"/>
    <x v="6"/>
    <n v="123.01599887"/>
    <n v="137.27213086"/>
    <n v="17.348481270000001"/>
    <n v="19.35896967"/>
    <x v="0"/>
  </r>
  <r>
    <x v="0"/>
    <x v="4"/>
    <x v="0"/>
    <s v="Enterprise"/>
    <s v="Transportation"/>
    <x v="11"/>
    <n v="255.9486637"/>
    <n v="285.61933038000001"/>
    <n v="36.095472450000003"/>
    <n v="40.27981441"/>
    <x v="0"/>
  </r>
  <r>
    <x v="0"/>
    <x v="4"/>
    <x v="0"/>
    <s v="Enterprise"/>
    <s v="Utilities"/>
    <x v="12"/>
    <n v="157.65106236"/>
    <n v="175.93481395000001"/>
    <n v="22.232933339999999"/>
    <n v="24.811421710000001"/>
    <x v="0"/>
  </r>
  <r>
    <x v="0"/>
    <x v="4"/>
    <x v="0"/>
    <s v="Enterprise"/>
    <s v="Manufacturing"/>
    <x v="7"/>
    <n v="1379.1263189199999"/>
    <n v="1538.89603511"/>
    <n v="194.49297110000001"/>
    <n v="217.02469017999999"/>
    <x v="0"/>
  </r>
  <r>
    <x v="0"/>
    <x v="4"/>
    <x v="0"/>
    <s v="Enterprise"/>
    <s v="Health"/>
    <x v="5"/>
    <n v="895.68632309999998"/>
    <n v="999.50472655999999"/>
    <n v="126.31525609000001"/>
    <n v="140.95637305"/>
    <x v="0"/>
  </r>
  <r>
    <x v="0"/>
    <x v="4"/>
    <x v="0"/>
    <s v="Enterprise"/>
    <s v="Media"/>
    <x v="8"/>
    <n v="39.710974350000001"/>
    <n v="44.31412701"/>
    <n v="5.6002885899999999"/>
    <n v="6.2494538100000003"/>
    <x v="0"/>
  </r>
  <r>
    <x v="0"/>
    <x v="4"/>
    <x v="0"/>
    <s v="Enterprise"/>
    <s v="Construction"/>
    <x v="0"/>
    <n v="52.95997887"/>
    <n v="59.096107009999997"/>
    <n v="7.46874561"/>
    <n v="8.3341005599999995"/>
    <x v="0"/>
  </r>
  <r>
    <x v="0"/>
    <x v="4"/>
    <x v="0"/>
    <s v="Enterprise"/>
    <s v="Government"/>
    <x v="4"/>
    <n v="330.73374082999999"/>
    <n v="369.08549120999999"/>
    <n v="46.642129160000003"/>
    <n v="52.05073153"/>
    <x v="0"/>
  </r>
  <r>
    <x v="0"/>
    <x v="4"/>
    <x v="0"/>
    <s v="Enterprise"/>
    <s v="Education"/>
    <x v="2"/>
    <n v="2318.6667954099998"/>
    <n v="2587.4001522499998"/>
    <n v="326.99281266000003"/>
    <n v="364.89126205000002"/>
    <x v="0"/>
  </r>
  <r>
    <x v="0"/>
    <x v="4"/>
    <x v="0"/>
    <s v="Enterprise"/>
    <s v="Services"/>
    <x v="10"/>
    <n v="1080.1451465299999"/>
    <n v="1205.3357114400001"/>
    <n v="152.32878663"/>
    <n v="169.98393873000001"/>
    <x v="0"/>
  </r>
  <r>
    <x v="0"/>
    <x v="4"/>
    <x v="0"/>
    <s v="Enterprise"/>
    <s v="Distribution"/>
    <x v="1"/>
    <n v="483.40037158000001"/>
    <n v="539.39875361999998"/>
    <n v="68.172126950000006"/>
    <n v="76.069367080000006"/>
    <x v="0"/>
  </r>
  <r>
    <x v="0"/>
    <x v="4"/>
    <x v="0"/>
    <s v="Enterprise"/>
    <s v="Resource Industries"/>
    <x v="9"/>
    <n v="178.13333186"/>
    <n v="198.78021236999999"/>
    <n v="25.121470380000002"/>
    <n v="28.033221879999999"/>
    <x v="0"/>
  </r>
  <r>
    <x v="0"/>
    <x v="4"/>
    <x v="0"/>
    <s v="Service Provider"/>
    <s v="Telecom"/>
    <x v="13"/>
    <n v="230.79480573999999"/>
    <n v="257.5461487"/>
    <n v="32.548118959999996"/>
    <n v="36.320759719999998"/>
    <x v="0"/>
  </r>
  <r>
    <x v="0"/>
    <x v="4"/>
    <x v="0"/>
    <s v="Enterprise"/>
    <s v="Finance"/>
    <x v="3"/>
    <n v="239.52149732999999"/>
    <n v="267.28786652999997"/>
    <n v="33.778811279999999"/>
    <n v="37.694597360000003"/>
    <x v="0"/>
  </r>
  <r>
    <x v="0"/>
    <x v="5"/>
    <x v="0"/>
    <s v="Enterprise"/>
    <s v="Internet"/>
    <x v="6"/>
    <n v="127.85574153"/>
    <n v="142.89020503"/>
    <n v="18.031011880000001"/>
    <n v="20.151265429999999"/>
    <x v="0"/>
  </r>
  <r>
    <x v="0"/>
    <x v="5"/>
    <x v="0"/>
    <s v="Enterprise"/>
    <s v="Transportation"/>
    <x v="11"/>
    <n v="268.18861645999999"/>
    <n v="299.73098642999997"/>
    <n v="37.821626719999998"/>
    <n v="42.26992791"/>
    <x v="0"/>
  </r>
  <r>
    <x v="0"/>
    <x v="5"/>
    <x v="0"/>
    <s v="Enterprise"/>
    <s v="Utilities"/>
    <x v="12"/>
    <n v="164.58321853999999"/>
    <n v="183.94584717000001"/>
    <n v="23.21054912"/>
    <n v="25.94118744"/>
    <x v="0"/>
  </r>
  <r>
    <x v="0"/>
    <x v="5"/>
    <x v="0"/>
    <s v="Enterprise"/>
    <s v="Manufacturing"/>
    <x v="7"/>
    <n v="1439.52164696"/>
    <n v="1608.75637373"/>
    <n v="203.01029589999999"/>
    <n v="226.87682964000001"/>
    <x v="0"/>
  </r>
  <r>
    <x v="0"/>
    <x v="5"/>
    <x v="0"/>
    <s v="Enterprise"/>
    <s v="Health"/>
    <x v="5"/>
    <n v="934.40586628999995"/>
    <n v="1044.2953201"/>
    <n v="131.77572688999999"/>
    <n v="147.27302112999999"/>
    <x v="0"/>
  </r>
  <r>
    <x v="0"/>
    <x v="5"/>
    <x v="0"/>
    <s v="Enterprise"/>
    <s v="Media"/>
    <x v="8"/>
    <n v="40.688376589999997"/>
    <n v="45.473547709999998"/>
    <n v="5.7381279300000001"/>
    <n v="6.4129625199999998"/>
    <x v="0"/>
  </r>
  <r>
    <x v="0"/>
    <x v="5"/>
    <x v="0"/>
    <s v="Enterprise"/>
    <s v="Construction"/>
    <x v="0"/>
    <n v="55.174134979999998"/>
    <n v="61.661064969999998"/>
    <n v="7.7809996799999999"/>
    <n v="8.6958268899999993"/>
    <x v="0"/>
  </r>
  <r>
    <x v="0"/>
    <x v="5"/>
    <x v="0"/>
    <s v="Enterprise"/>
    <s v="Government"/>
    <x v="4"/>
    <n v="345.64859799999999"/>
    <n v="386.30900682999999"/>
    <n v="48.745515079999997"/>
    <n v="54.479698829999997"/>
    <x v="0"/>
  </r>
  <r>
    <x v="0"/>
    <x v="5"/>
    <x v="0"/>
    <s v="Enterprise"/>
    <s v="Education"/>
    <x v="2"/>
    <n v="2411.0807158399998"/>
    <n v="2694.6250942199999"/>
    <n v="340.02559848999999"/>
    <n v="380.01279025999997"/>
    <x v="0"/>
  </r>
  <r>
    <x v="0"/>
    <x v="5"/>
    <x v="0"/>
    <s v="Enterprise"/>
    <s v="Services"/>
    <x v="10"/>
    <n v="1126.2960570099999"/>
    <n v="1258.74540525"/>
    <n v="158.83727506"/>
    <n v="177.51610593000001"/>
    <x v="0"/>
  </r>
  <r>
    <x v="0"/>
    <x v="5"/>
    <x v="0"/>
    <s v="Enterprise"/>
    <s v="Distribution"/>
    <x v="1"/>
    <n v="503.80917935999997"/>
    <n v="563.03649639000002"/>
    <n v="71.050303959999994"/>
    <n v="79.402908580000002"/>
    <x v="0"/>
  </r>
  <r>
    <x v="0"/>
    <x v="5"/>
    <x v="0"/>
    <s v="Enterprise"/>
    <s v="Resource Industries"/>
    <x v="9"/>
    <n v="186.46927808999999"/>
    <n v="208.39833397000001"/>
    <n v="26.29705736"/>
    <n v="29.389629209999999"/>
    <x v="0"/>
  </r>
  <r>
    <x v="0"/>
    <x v="5"/>
    <x v="0"/>
    <s v="Service Provider"/>
    <s v="Telecom"/>
    <x v="13"/>
    <n v="239.26520658000001"/>
    <n v="267.40483424000001"/>
    <n v="33.742667560000001"/>
    <n v="37.711092870000002"/>
    <x v="0"/>
  </r>
  <r>
    <x v="0"/>
    <x v="5"/>
    <x v="0"/>
    <s v="Enterprise"/>
    <s v="Finance"/>
    <x v="3"/>
    <n v="248.65800225999999"/>
    <n v="277.90342500000003"/>
    <n v="35.067298030000003"/>
    <n v="39.191669439999998"/>
    <x v="0"/>
  </r>
  <r>
    <x v="0"/>
    <x v="6"/>
    <x v="0"/>
    <s v="Enterprise"/>
    <s v="Internet"/>
    <x v="6"/>
    <n v="132.57922163999999"/>
    <n v="148.29303044"/>
    <n v="18.697146419999999"/>
    <n v="20.913205470000001"/>
    <x v="0"/>
  </r>
  <r>
    <x v="0"/>
    <x v="6"/>
    <x v="0"/>
    <s v="Enterprise"/>
    <s v="Transportation"/>
    <x v="11"/>
    <n v="276.46573990000002"/>
    <n v="309.23655149000001"/>
    <n v="38.988918150000003"/>
    <n v="43.610461819999998"/>
    <x v="0"/>
  </r>
  <r>
    <x v="0"/>
    <x v="6"/>
    <x v="0"/>
    <s v="Enterprise"/>
    <s v="Utilities"/>
    <x v="12"/>
    <n v="170.58012364999999"/>
    <n v="190.80270105"/>
    <n v="24.05626998"/>
    <n v="26.908183619999999"/>
    <x v="0"/>
  </r>
  <r>
    <x v="0"/>
    <x v="6"/>
    <x v="0"/>
    <s v="Enterprise"/>
    <s v="Manufacturing"/>
    <x v="7"/>
    <n v="1493.74604656"/>
    <n v="1670.7705027699999"/>
    <n v="210.65735798"/>
    <n v="235.62244781999999"/>
    <x v="0"/>
  </r>
  <r>
    <x v="0"/>
    <x v="6"/>
    <x v="0"/>
    <s v="Enterprise"/>
    <s v="Health"/>
    <x v="5"/>
    <n v="979.67778176000002"/>
    <n v="1095.8006654000001"/>
    <n v="138.16025397999999"/>
    <n v="154.53662527"/>
    <x v="0"/>
  </r>
  <r>
    <x v="0"/>
    <x v="6"/>
    <x v="0"/>
    <s v="Enterprise"/>
    <s v="Media"/>
    <x v="8"/>
    <n v="41.974597660000001"/>
    <n v="46.949941150000001"/>
    <n v="5.9195188300000003"/>
    <n v="6.6211727099999997"/>
    <x v="0"/>
  </r>
  <r>
    <x v="0"/>
    <x v="6"/>
    <x v="0"/>
    <s v="Enterprise"/>
    <s v="Construction"/>
    <x v="0"/>
    <n v="57.175082359999998"/>
    <n v="63.951083050000001"/>
    <n v="8.0631857199999999"/>
    <n v="9.0187794799999992"/>
    <x v="0"/>
  </r>
  <r>
    <x v="0"/>
    <x v="6"/>
    <x v="0"/>
    <s v="Enterprise"/>
    <s v="Government"/>
    <x v="4"/>
    <n v="358.59703925000002"/>
    <n v="401.10725712999999"/>
    <n v="50.571584799999997"/>
    <n v="56.566640130000003"/>
    <x v="0"/>
  </r>
  <r>
    <x v="0"/>
    <x v="6"/>
    <x v="0"/>
    <s v="Enterprise"/>
    <s v="Education"/>
    <x v="2"/>
    <n v="2510.8626435599999"/>
    <n v="2808.4838964400001"/>
    <n v="354.09746654000003"/>
    <n v="396.06986670999999"/>
    <x v="0"/>
  </r>
  <r>
    <x v="0"/>
    <x v="6"/>
    <x v="0"/>
    <s v="Enterprise"/>
    <s v="Services"/>
    <x v="10"/>
    <n v="1166.94989895"/>
    <n v="1305.2648120399999"/>
    <n v="164.57053271000001"/>
    <n v="184.07656201"/>
    <x v="0"/>
  </r>
  <r>
    <x v="0"/>
    <x v="6"/>
    <x v="0"/>
    <s v="Enterprise"/>
    <s v="Distribution"/>
    <x v="1"/>
    <n v="522.06752913000003"/>
    <n v="583.93692532"/>
    <n v="73.625210010000004"/>
    <n v="82.350417059999998"/>
    <x v="0"/>
  </r>
  <r>
    <x v="0"/>
    <x v="6"/>
    <x v="0"/>
    <s v="Enterprise"/>
    <s v="Resource Industries"/>
    <x v="9"/>
    <n v="192.52195877"/>
    <n v="215.34145591999999"/>
    <n v="27.150644029999999"/>
    <n v="30.36879145"/>
    <x v="0"/>
  </r>
  <r>
    <x v="0"/>
    <x v="6"/>
    <x v="0"/>
    <s v="Service Provider"/>
    <s v="Telecom"/>
    <x v="13"/>
    <n v="249.20731867000001"/>
    <n v="278.74717274"/>
    <n v="35.144766050000001"/>
    <n v="39.310659989999998"/>
    <x v="0"/>
  </r>
  <r>
    <x v="0"/>
    <x v="6"/>
    <x v="0"/>
    <s v="Enterprise"/>
    <s v="Finance"/>
    <x v="3"/>
    <n v="257.48663226000002"/>
    <n v="288.00935729999998"/>
    <n v="36.312366339999997"/>
    <n v="40.61687087"/>
    <x v="0"/>
  </r>
  <r>
    <x v="0"/>
    <x v="7"/>
    <x v="0"/>
    <s v="Enterprise"/>
    <s v="Internet"/>
    <x v="6"/>
    <n v="137.40236074000001"/>
    <n v="153.75237333999999"/>
    <n v="19.377335500000001"/>
    <n v="21.683115969999999"/>
    <x v="0"/>
  </r>
  <r>
    <x v="0"/>
    <x v="7"/>
    <x v="0"/>
    <s v="Enterprise"/>
    <s v="Transportation"/>
    <x v="11"/>
    <n v="286.94557693000002"/>
    <n v="321.09189932999999"/>
    <n v="40.466849940000003"/>
    <n v="45.282376710000001"/>
    <x v="0"/>
  </r>
  <r>
    <x v="0"/>
    <x v="7"/>
    <x v="0"/>
    <s v="Enterprise"/>
    <s v="Utilities"/>
    <x v="12"/>
    <n v="177.22716955000001"/>
    <n v="198.31862803000001"/>
    <n v="24.993677730000002"/>
    <n v="27.968126389999998"/>
    <x v="0"/>
  </r>
  <r>
    <x v="0"/>
    <x v="7"/>
    <x v="0"/>
    <s v="Enterprise"/>
    <s v="Manufacturing"/>
    <x v="7"/>
    <n v="1548.0061481400001"/>
    <n v="1732.1989666899999"/>
    <n v="218.30945498"/>
    <n v="244.28547186"/>
    <x v="0"/>
  </r>
  <r>
    <x v="0"/>
    <x v="7"/>
    <x v="0"/>
    <s v="Enterprise"/>
    <s v="Health"/>
    <x v="5"/>
    <n v="1016.52110046"/>
    <n v="1137.4854837800001"/>
    <n v="143.35612793999999"/>
    <n v="160.41527762000001"/>
    <x v="0"/>
  </r>
  <r>
    <x v="0"/>
    <x v="7"/>
    <x v="0"/>
    <s v="Enterprise"/>
    <s v="Media"/>
    <x v="8"/>
    <n v="43.129637520000003"/>
    <n v="48.262057499999997"/>
    <n v="6.0824097300000002"/>
    <n v="6.8062155200000003"/>
    <x v="0"/>
  </r>
  <r>
    <x v="0"/>
    <x v="7"/>
    <x v="0"/>
    <s v="Enterprise"/>
    <s v="Construction"/>
    <x v="0"/>
    <n v="58.676696399999997"/>
    <n v="65.658485519999999"/>
    <n v="8.2749526699999993"/>
    <n v="9.2595679999999998"/>
    <x v="0"/>
  </r>
  <r>
    <x v="0"/>
    <x v="7"/>
    <x v="0"/>
    <s v="Enterprise"/>
    <s v="Government"/>
    <x v="4"/>
    <n v="372.47305448999998"/>
    <n v="416.79898960999998"/>
    <n v="52.528466780000002"/>
    <n v="58.779585840000003"/>
    <x v="0"/>
  </r>
  <r>
    <x v="0"/>
    <x v="7"/>
    <x v="0"/>
    <s v="Enterprise"/>
    <s v="Education"/>
    <x v="2"/>
    <n v="2608.3403750000002"/>
    <n v="2918.73846112"/>
    <n v="367.84438249999999"/>
    <n v="411.61865116000001"/>
    <x v="0"/>
  </r>
  <r>
    <x v="0"/>
    <x v="7"/>
    <x v="0"/>
    <s v="Enterprise"/>
    <s v="Services"/>
    <x v="10"/>
    <n v="1210.77972082"/>
    <n v="1354.8558640799999"/>
    <n v="170.75168679000001"/>
    <n v="191.07020061"/>
    <x v="0"/>
  </r>
  <r>
    <x v="0"/>
    <x v="7"/>
    <x v="0"/>
    <s v="Enterprise"/>
    <s v="Distribution"/>
    <x v="1"/>
    <n v="540.98798693000003"/>
    <n v="605.35757338999997"/>
    <n v="76.293490640000002"/>
    <n v="85.371290079999994"/>
    <x v="0"/>
  </r>
  <r>
    <x v="0"/>
    <x v="7"/>
    <x v="0"/>
    <s v="Enterprise"/>
    <s v="Resource Industries"/>
    <x v="9"/>
    <n v="199.74415854"/>
    <n v="223.51301207"/>
    <n v="28.169163569999998"/>
    <n v="31.521195120000002"/>
    <x v="0"/>
  </r>
  <r>
    <x v="0"/>
    <x v="7"/>
    <x v="0"/>
    <s v="Service Provider"/>
    <s v="Telecom"/>
    <x v="13"/>
    <n v="259.09169666999998"/>
    <n v="289.92429014999999"/>
    <n v="36.538722509999999"/>
    <n v="40.886926610000003"/>
    <x v="0"/>
  </r>
  <r>
    <x v="0"/>
    <x v="7"/>
    <x v="0"/>
    <s v="Enterprise"/>
    <s v="Finance"/>
    <x v="3"/>
    <n v="266.48075032999998"/>
    <n v="298.19277289000001"/>
    <n v="37.580772809999999"/>
    <n v="42.05299947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40" firstHeaderRow="1" firstDataRow="2" firstDataCol="1"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8">
        <item h="1" x="0"/>
        <item x="1"/>
        <item x="2"/>
        <item x="3"/>
        <item x="4"/>
        <item x="5"/>
        <item x="6"/>
        <item x="7"/>
      </items>
    </pivotField>
    <pivotField axis="axisPage" compact="0" outline="0" showAll="0" defaultSubtotal="0">
      <items count="1">
        <item x="0"/>
      </items>
    </pivotField>
    <pivotField compact="0" outline="0" subtotalTop="0" showAll="0" defaultSubtotal="0"/>
    <pivotField compact="0" outline="0" subtotalTop="0" showAll="0" defaultSubtotal="0"/>
    <pivotField axis="axisRow" compact="0" outline="0" subtotalTop="0" showAll="0" sortType="descending" defaultSubtotal="0">
      <items count="14">
        <item x="6"/>
        <item x="11"/>
        <item x="12"/>
        <item x="7"/>
        <item x="5"/>
        <item x="8"/>
        <item x="0"/>
        <item x="4"/>
        <item x="2"/>
        <item x="10"/>
        <item x="1"/>
        <item x="9"/>
        <item x="13"/>
        <item x="3"/>
      </items>
      <autoSortScope>
        <pivotArea dataOnly="0" outline="0" fieldPosition="0">
          <references count="2">
            <reference field="4294967294" count="1" selected="0">
              <x v="0"/>
            </reference>
            <reference field="1" count="1" selected="0">
              <x v="7"/>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1">
    <field x="5"/>
  </rowFields>
  <rowItems count="15">
    <i>
      <x v="8"/>
    </i>
    <i>
      <x v="3"/>
    </i>
    <i>
      <x v="9"/>
    </i>
    <i>
      <x v="4"/>
    </i>
    <i>
      <x v="10"/>
    </i>
    <i>
      <x v="7"/>
    </i>
    <i>
      <x v="1"/>
    </i>
    <i>
      <x v="13"/>
    </i>
    <i>
      <x v="12"/>
    </i>
    <i>
      <x v="11"/>
    </i>
    <i>
      <x v="2"/>
    </i>
    <i>
      <x/>
    </i>
    <i>
      <x v="6"/>
    </i>
    <i>
      <x v="5"/>
    </i>
    <i t="grand">
      <x/>
    </i>
  </rowItems>
  <colFields count="1">
    <field x="1"/>
  </colFields>
  <colItems count="7">
    <i>
      <x v="1"/>
    </i>
    <i>
      <x v="2"/>
    </i>
    <i>
      <x v="3"/>
    </i>
    <i>
      <x v="4"/>
    </i>
    <i>
      <x v="5"/>
    </i>
    <i>
      <x v="6"/>
    </i>
    <i>
      <x v="7"/>
    </i>
  </colItems>
  <pageFields count="3">
    <pageField fld="0" item="0" hier="-1"/>
    <pageField fld="2" item="0" hier="-1"/>
    <pageField fld="10" item="0" hier="-1"/>
  </pageFields>
  <dataFields count="1">
    <dataField name="Sum of Vendor Revenue (CNY M)" fld="6"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type="topRight" dataOnly="0" labelOnly="1" outline="0"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type="topRight" dataOnly="0" labelOnly="1" outline="0"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27" zoomScale="70" zoomScaleNormal="70" workbookViewId="0">
      <selection activeCell="V44" sqref="V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10</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9</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1</v>
      </c>
      <c r="H43" s="13" t="s">
        <v>11</v>
      </c>
      <c r="I43" s="13" t="s">
        <v>12</v>
      </c>
      <c r="J43" s="13" t="s">
        <v>13</v>
      </c>
      <c r="K43" s="13" t="s">
        <v>14</v>
      </c>
      <c r="L43" s="13" t="s">
        <v>15</v>
      </c>
      <c r="M43" s="13" t="s">
        <v>16</v>
      </c>
      <c r="N43" s="13" t="s">
        <v>17</v>
      </c>
      <c r="O43" s="13" t="s">
        <v>18</v>
      </c>
      <c r="P43" s="13" t="s">
        <v>19</v>
      </c>
      <c r="Q43" s="13" t="s">
        <v>20</v>
      </c>
      <c r="R43" s="13" t="s">
        <v>21</v>
      </c>
      <c r="S43" s="13" t="s">
        <v>22</v>
      </c>
      <c r="T43" s="13" t="s">
        <v>23</v>
      </c>
      <c r="U43" s="13" t="s">
        <v>44</v>
      </c>
      <c r="V43" s="13" t="s">
        <v>47</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topLeftCell="A26" zoomScaleNormal="100" workbookViewId="0">
      <selection activeCell="I40" sqref="I40"/>
    </sheetView>
  </sheetViews>
  <sheetFormatPr defaultColWidth="5.54296875" defaultRowHeight="14" customHeight="1"/>
  <cols>
    <col min="1" max="1" width="4.81640625" style="3" customWidth="1"/>
    <col min="2" max="2" width="28.90625" style="3" bestFit="1" customWidth="1"/>
    <col min="3" max="3" width="14.90625" style="3" bestFit="1" customWidth="1"/>
    <col min="4" max="4" width="11.6328125" style="3" customWidth="1"/>
    <col min="5" max="5" width="12" style="3" customWidth="1"/>
    <col min="6" max="6" width="12.7265625" style="3" customWidth="1"/>
    <col min="7" max="7" width="11.90625" style="3" customWidth="1"/>
    <col min="8" max="8" width="10.90625" style="3" customWidth="1"/>
    <col min="9" max="9" width="10.54296875" style="3" customWidth="1"/>
    <col min="10" max="10" width="11.36328125" style="3" bestFit="1" customWidth="1"/>
    <col min="11" max="11" width="10.36328125" style="3" customWidth="1"/>
    <col min="12" max="12" width="11" style="3" customWidth="1"/>
    <col min="13" max="13" width="10.36328125" style="3" customWidth="1"/>
    <col min="14" max="15" width="14.6328125" style="3" bestFit="1" customWidth="1"/>
    <col min="16" max="22" width="10.81640625" style="3" customWidth="1"/>
    <col min="23" max="26" width="10.7265625" style="3" bestFit="1" customWidth="1"/>
    <col min="27" max="16384" width="5.54296875" style="3"/>
  </cols>
  <sheetData>
    <row r="12" spans="2:5" ht="14" customHeight="1">
      <c r="B12"/>
      <c r="C12"/>
    </row>
    <row r="13" spans="2:5" ht="14" customHeight="1">
      <c r="B13"/>
      <c r="C13"/>
    </row>
    <row r="14" spans="2:5" ht="14.5">
      <c r="B14"/>
      <c r="C14"/>
    </row>
    <row r="15" spans="2:5" ht="14.5">
      <c r="B15"/>
      <c r="C15"/>
    </row>
    <row r="16" spans="2:5" ht="14.5">
      <c r="B16"/>
      <c r="C16"/>
      <c r="D16" s="4"/>
      <c r="E16" s="4"/>
    </row>
    <row r="17" spans="2:27" ht="14.5">
      <c r="B17"/>
      <c r="C17"/>
    </row>
    <row r="18" spans="2:27" ht="16.5">
      <c r="B18"/>
      <c r="C18"/>
      <c r="D18" s="8"/>
      <c r="E18" s="8"/>
      <c r="F18" s="8"/>
      <c r="G18" s="8"/>
      <c r="H18" s="8"/>
      <c r="I18" s="7"/>
      <c r="J18" s="7"/>
      <c r="K18" s="7"/>
      <c r="L18"/>
      <c r="M18"/>
      <c r="N18"/>
    </row>
    <row r="19" spans="2:27" ht="16.5">
      <c r="B19"/>
      <c r="C19"/>
      <c r="D19" s="8"/>
      <c r="E19" s="8"/>
      <c r="F19" s="8"/>
      <c r="G19" s="8"/>
      <c r="H19" s="8"/>
      <c r="I19" s="8"/>
      <c r="J19" s="7"/>
      <c r="K19" s="7"/>
      <c r="L19"/>
      <c r="M19" s="5"/>
      <c r="N19"/>
      <c r="O19"/>
    </row>
    <row r="20" spans="2:27" ht="16.5">
      <c r="B20" s="8" t="s">
        <v>2</v>
      </c>
      <c r="C20" s="8" t="s">
        <v>3</v>
      </c>
      <c r="D20" s="8"/>
      <c r="E20" s="8"/>
      <c r="F20" s="8"/>
      <c r="G20" s="8"/>
      <c r="H20" s="8"/>
      <c r="I20" s="8"/>
      <c r="J20" s="7"/>
      <c r="K20" s="7"/>
      <c r="L20" s="4"/>
      <c r="M20"/>
      <c r="N20"/>
      <c r="R20"/>
      <c r="S20"/>
      <c r="T20"/>
      <c r="U20" s="4"/>
    </row>
    <row r="21" spans="2:27" ht="16.5">
      <c r="B21" s="8" t="s">
        <v>24</v>
      </c>
      <c r="C21" s="8" t="s">
        <v>25</v>
      </c>
      <c r="D21" s="8"/>
      <c r="E21" s="8"/>
      <c r="F21" s="8"/>
      <c r="G21" s="8"/>
      <c r="H21" s="8"/>
      <c r="I21" s="8"/>
      <c r="J21" s="7"/>
      <c r="K21" s="7"/>
      <c r="L21" s="4"/>
      <c r="M21" s="4"/>
      <c r="N21" s="4"/>
      <c r="O21" s="4"/>
      <c r="P21" s="4"/>
      <c r="R21"/>
      <c r="S21"/>
      <c r="T21"/>
      <c r="U21" s="4"/>
      <c r="V21" s="4"/>
    </row>
    <row r="22" spans="2:27" ht="16.5">
      <c r="B22" s="8" t="s">
        <v>27</v>
      </c>
      <c r="C22" s="8" t="s">
        <v>47</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ht="14.5">
      <c r="B24" s="8" t="s">
        <v>28</v>
      </c>
      <c r="C24" s="8" t="s">
        <v>0</v>
      </c>
      <c r="D24" s="8"/>
      <c r="E24" s="8"/>
      <c r="F24" s="8"/>
      <c r="G24" s="8"/>
      <c r="H24" s="8"/>
      <c r="I24" s="8"/>
      <c r="J24"/>
      <c r="K24"/>
      <c r="L24"/>
      <c r="M24"/>
      <c r="N24"/>
      <c r="O24"/>
      <c r="P24"/>
      <c r="Q24"/>
      <c r="R24"/>
      <c r="S24"/>
      <c r="T24"/>
      <c r="U24"/>
      <c r="V24"/>
      <c r="W24"/>
      <c r="X24"/>
      <c r="Y24"/>
    </row>
    <row r="25" spans="2:27" ht="14.5">
      <c r="B25" s="8" t="s">
        <v>43</v>
      </c>
      <c r="C25" s="8">
        <v>2024</v>
      </c>
      <c r="D25" s="8">
        <v>2025</v>
      </c>
      <c r="E25" s="8">
        <v>2026</v>
      </c>
      <c r="F25" s="8">
        <v>2027</v>
      </c>
      <c r="G25" s="8">
        <v>2028</v>
      </c>
      <c r="H25" s="8">
        <v>2029</v>
      </c>
      <c r="I25" s="8">
        <v>2030</v>
      </c>
      <c r="J25"/>
      <c r="K25"/>
      <c r="L25"/>
      <c r="M25"/>
      <c r="N25"/>
      <c r="O25"/>
      <c r="P25"/>
      <c r="Q25"/>
      <c r="R25"/>
      <c r="S25"/>
      <c r="T25"/>
      <c r="U25"/>
      <c r="V25"/>
      <c r="W25"/>
      <c r="X25"/>
      <c r="Y25"/>
    </row>
    <row r="26" spans="2:27" ht="14.5">
      <c r="B26" s="8" t="s">
        <v>31</v>
      </c>
      <c r="C26" s="17">
        <v>2554.5272678000001</v>
      </c>
      <c r="D26" s="17">
        <v>2105.62400493</v>
      </c>
      <c r="E26" s="17">
        <v>2215.21058047</v>
      </c>
      <c r="F26" s="17">
        <v>2318.6667954099998</v>
      </c>
      <c r="G26" s="17">
        <v>2411.0807158399998</v>
      </c>
      <c r="H26" s="17">
        <v>2510.8626435599999</v>
      </c>
      <c r="I26" s="17">
        <v>2608.3403750000002</v>
      </c>
      <c r="J26"/>
      <c r="K26" s="16"/>
      <c r="L26" s="16"/>
      <c r="M26" s="16"/>
      <c r="N26" s="16"/>
      <c r="O26" s="16"/>
      <c r="P26"/>
      <c r="Q26"/>
      <c r="R26"/>
      <c r="S26"/>
      <c r="T26"/>
      <c r="U26"/>
      <c r="V26"/>
      <c r="W26"/>
      <c r="X26"/>
      <c r="Y26"/>
    </row>
    <row r="27" spans="2:27" ht="14.5">
      <c r="B27" s="8" t="s">
        <v>36</v>
      </c>
      <c r="C27" s="17">
        <v>1358.2653383300001</v>
      </c>
      <c r="D27" s="17">
        <v>1262.52506139</v>
      </c>
      <c r="E27" s="17">
        <v>1318.21204863</v>
      </c>
      <c r="F27" s="17">
        <v>1379.1263189199999</v>
      </c>
      <c r="G27" s="17">
        <v>1439.52164696</v>
      </c>
      <c r="H27" s="17">
        <v>1493.74604656</v>
      </c>
      <c r="I27" s="17">
        <v>1548.0061481400001</v>
      </c>
      <c r="J27"/>
      <c r="K27" s="16"/>
      <c r="L27" s="16"/>
      <c r="M27" s="16"/>
      <c r="N27" s="16"/>
      <c r="O27" s="16"/>
      <c r="P27"/>
      <c r="Q27"/>
      <c r="R27"/>
      <c r="S27"/>
      <c r="T27"/>
      <c r="U27"/>
      <c r="V27"/>
      <c r="W27" s="15"/>
      <c r="X27" s="15"/>
      <c r="Y27" s="15"/>
      <c r="Z27" s="15"/>
      <c r="AA27"/>
    </row>
    <row r="28" spans="2:27" ht="14.5">
      <c r="B28" s="8" t="s">
        <v>39</v>
      </c>
      <c r="C28" s="17">
        <v>929.23191527999995</v>
      </c>
      <c r="D28" s="17">
        <v>994.29612779000001</v>
      </c>
      <c r="E28" s="17">
        <v>1037.87546845</v>
      </c>
      <c r="F28" s="17">
        <v>1080.1451465299999</v>
      </c>
      <c r="G28" s="17">
        <v>1126.2960570099999</v>
      </c>
      <c r="H28" s="17">
        <v>1166.94989895</v>
      </c>
      <c r="I28" s="17">
        <v>1210.77972082</v>
      </c>
      <c r="J28"/>
      <c r="K28" s="16"/>
      <c r="L28" s="16"/>
      <c r="M28" s="16"/>
      <c r="N28" s="16"/>
      <c r="O28" s="16"/>
      <c r="P28"/>
      <c r="Q28"/>
      <c r="R28"/>
      <c r="S28"/>
      <c r="T28"/>
      <c r="U28"/>
      <c r="V28"/>
      <c r="W28" s="15"/>
      <c r="X28" s="15"/>
      <c r="Y28" s="15"/>
      <c r="Z28" s="15"/>
      <c r="AA28"/>
    </row>
    <row r="29" spans="2:27" ht="14.5">
      <c r="B29" s="8" t="s">
        <v>34</v>
      </c>
      <c r="C29" s="17">
        <v>853.52408519999994</v>
      </c>
      <c r="D29" s="17">
        <v>816.74665994999998</v>
      </c>
      <c r="E29" s="17">
        <v>857.59996922000005</v>
      </c>
      <c r="F29" s="17">
        <v>895.68632309999998</v>
      </c>
      <c r="G29" s="17">
        <v>934.40586628999995</v>
      </c>
      <c r="H29" s="17">
        <v>979.67778176000002</v>
      </c>
      <c r="I29" s="17">
        <v>1016.52110046</v>
      </c>
      <c r="J29"/>
      <c r="K29" s="16"/>
      <c r="L29" s="16"/>
      <c r="M29" s="16"/>
      <c r="N29" s="16"/>
      <c r="O29" s="16"/>
      <c r="P29"/>
      <c r="Q29"/>
      <c r="R29"/>
      <c r="S29"/>
      <c r="T29"/>
      <c r="U29"/>
      <c r="V29"/>
      <c r="W29" s="15"/>
      <c r="X29" s="15"/>
      <c r="Y29" s="15"/>
      <c r="Z29" s="15"/>
      <c r="AA29"/>
    </row>
    <row r="30" spans="2:27" ht="14.5">
      <c r="B30" s="8" t="s">
        <v>30</v>
      </c>
      <c r="C30" s="17">
        <v>420.60184512000001</v>
      </c>
      <c r="D30" s="17">
        <v>447.13624886999997</v>
      </c>
      <c r="E30" s="17">
        <v>467.63890547</v>
      </c>
      <c r="F30" s="17">
        <v>483.40037158000001</v>
      </c>
      <c r="G30" s="17">
        <v>503.80917935999997</v>
      </c>
      <c r="H30" s="17">
        <v>522.06752913000003</v>
      </c>
      <c r="I30" s="17">
        <v>540.98798693000003</v>
      </c>
      <c r="J30"/>
      <c r="K30" s="16"/>
      <c r="L30" s="16"/>
      <c r="M30" s="16"/>
      <c r="N30" s="16"/>
      <c r="O30" s="16"/>
      <c r="P30"/>
      <c r="Q30"/>
      <c r="R30"/>
      <c r="S30"/>
      <c r="T30"/>
      <c r="U30"/>
      <c r="V30"/>
      <c r="W30" s="15"/>
      <c r="X30" s="15"/>
      <c r="Y30" s="15"/>
      <c r="Z30" s="15"/>
      <c r="AA30"/>
    </row>
    <row r="31" spans="2:27" ht="14.5">
      <c r="B31" s="8" t="s">
        <v>33</v>
      </c>
      <c r="C31" s="17">
        <v>435.63786002000001</v>
      </c>
      <c r="D31" s="17">
        <v>307.27908398</v>
      </c>
      <c r="E31" s="17">
        <v>320.41811939000002</v>
      </c>
      <c r="F31" s="17">
        <v>330.73374082999999</v>
      </c>
      <c r="G31" s="17">
        <v>345.64859799999999</v>
      </c>
      <c r="H31" s="17">
        <v>358.59703925000002</v>
      </c>
      <c r="I31" s="17">
        <v>372.47305448999998</v>
      </c>
      <c r="J31"/>
      <c r="K31" s="16"/>
      <c r="L31" s="16"/>
      <c r="M31" s="16"/>
      <c r="N31" s="16"/>
      <c r="O31" s="16"/>
      <c r="P31"/>
      <c r="Q31"/>
      <c r="R31"/>
      <c r="S31"/>
      <c r="T31"/>
      <c r="U31"/>
      <c r="V31"/>
      <c r="W31" s="15"/>
      <c r="X31" s="15"/>
      <c r="Y31" s="15"/>
      <c r="Z31" s="15"/>
      <c r="AA31"/>
    </row>
    <row r="32" spans="2:27" ht="14.5">
      <c r="B32" s="8" t="s">
        <v>40</v>
      </c>
      <c r="C32" s="17">
        <v>249.49916189999999</v>
      </c>
      <c r="D32" s="17">
        <v>230.03212164000001</v>
      </c>
      <c r="E32" s="17">
        <v>244.84682323999999</v>
      </c>
      <c r="F32" s="17">
        <v>255.9486637</v>
      </c>
      <c r="G32" s="17">
        <v>268.18861645999999</v>
      </c>
      <c r="H32" s="17">
        <v>276.46573990000002</v>
      </c>
      <c r="I32" s="17">
        <v>286.94557693000002</v>
      </c>
      <c r="J32"/>
      <c r="K32" s="16"/>
      <c r="L32" s="16"/>
      <c r="M32" s="16"/>
      <c r="N32" s="16"/>
      <c r="O32" s="16"/>
      <c r="P32"/>
      <c r="Q32"/>
      <c r="R32"/>
      <c r="S32"/>
      <c r="T32"/>
      <c r="U32"/>
      <c r="V32"/>
      <c r="W32" s="15"/>
      <c r="X32" s="15"/>
      <c r="Y32" s="15"/>
      <c r="Z32" s="15"/>
      <c r="AA32"/>
    </row>
    <row r="33" spans="2:27" ht="14.5">
      <c r="B33" s="8" t="s">
        <v>32</v>
      </c>
      <c r="C33" s="17">
        <v>263.40513986000002</v>
      </c>
      <c r="D33" s="17">
        <v>219.32481135</v>
      </c>
      <c r="E33" s="17">
        <v>232.16127915000001</v>
      </c>
      <c r="F33" s="17">
        <v>239.52149732999999</v>
      </c>
      <c r="G33" s="17">
        <v>248.65800225999999</v>
      </c>
      <c r="H33" s="17">
        <v>257.48663226000002</v>
      </c>
      <c r="I33" s="17">
        <v>266.48075032999998</v>
      </c>
      <c r="J33"/>
      <c r="K33" s="16"/>
      <c r="L33" s="16"/>
      <c r="M33" s="16"/>
      <c r="N33" s="16"/>
      <c r="O33" s="16"/>
      <c r="P33"/>
      <c r="Q33"/>
      <c r="R33"/>
      <c r="S33"/>
      <c r="T33"/>
      <c r="U33"/>
      <c r="V33"/>
      <c r="W33" s="15"/>
      <c r="X33" s="15"/>
      <c r="Y33" s="15"/>
      <c r="Z33" s="15"/>
      <c r="AA33"/>
    </row>
    <row r="34" spans="2:27" ht="14.5">
      <c r="B34" s="8" t="s">
        <v>42</v>
      </c>
      <c r="C34" s="17">
        <v>42.46233582</v>
      </c>
      <c r="D34" s="17">
        <v>214.72285663</v>
      </c>
      <c r="E34" s="17">
        <v>223.22485509000001</v>
      </c>
      <c r="F34" s="17">
        <v>230.79480573999999</v>
      </c>
      <c r="G34" s="17">
        <v>239.26520658000001</v>
      </c>
      <c r="H34" s="17">
        <v>249.20731867000001</v>
      </c>
      <c r="I34" s="17">
        <v>259.09169666999998</v>
      </c>
      <c r="J34"/>
      <c r="K34" s="16"/>
      <c r="L34" s="16"/>
      <c r="M34" s="16"/>
      <c r="N34" s="16"/>
      <c r="O34" s="16"/>
      <c r="P34"/>
      <c r="Q34"/>
      <c r="R34"/>
      <c r="S34"/>
      <c r="T34"/>
      <c r="U34"/>
      <c r="V34"/>
      <c r="W34" s="15"/>
      <c r="X34" s="15"/>
      <c r="Y34" s="15"/>
      <c r="Z34" s="15"/>
      <c r="AA34"/>
    </row>
    <row r="35" spans="2:27" ht="14.5">
      <c r="B35" s="8" t="s">
        <v>38</v>
      </c>
      <c r="C35" s="17">
        <v>146.04257111000001</v>
      </c>
      <c r="D35" s="17">
        <v>159.29278958</v>
      </c>
      <c r="E35" s="17">
        <v>170.35331205</v>
      </c>
      <c r="F35" s="17">
        <v>178.13333186</v>
      </c>
      <c r="G35" s="17">
        <v>186.46927808999999</v>
      </c>
      <c r="H35" s="17">
        <v>192.52195877</v>
      </c>
      <c r="I35" s="17">
        <v>199.74415854</v>
      </c>
      <c r="J35"/>
      <c r="K35" s="16"/>
      <c r="L35" s="16"/>
      <c r="M35" s="16"/>
      <c r="N35" s="16"/>
      <c r="O35" s="16"/>
      <c r="P35"/>
      <c r="Q35"/>
      <c r="R35"/>
      <c r="S35"/>
      <c r="T35"/>
      <c r="U35"/>
      <c r="V35"/>
      <c r="W35" s="15"/>
      <c r="X35" s="15"/>
      <c r="Y35" s="15"/>
      <c r="Z35" s="15"/>
      <c r="AA35"/>
    </row>
    <row r="36" spans="2:27" ht="14.5">
      <c r="B36" s="8" t="s">
        <v>41</v>
      </c>
      <c r="C36" s="17">
        <v>142.69039104000001</v>
      </c>
      <c r="D36" s="17">
        <v>140.03053646000001</v>
      </c>
      <c r="E36" s="17">
        <v>150.86792377</v>
      </c>
      <c r="F36" s="17">
        <v>157.65106236</v>
      </c>
      <c r="G36" s="17">
        <v>164.58321853999999</v>
      </c>
      <c r="H36" s="17">
        <v>170.58012364999999</v>
      </c>
      <c r="I36" s="17">
        <v>177.22716955000001</v>
      </c>
      <c r="J36"/>
      <c r="K36" s="16"/>
      <c r="L36" s="16"/>
      <c r="M36" s="16"/>
      <c r="N36" s="16"/>
      <c r="O36" s="16"/>
      <c r="P36"/>
      <c r="Q36"/>
      <c r="R36"/>
      <c r="S36"/>
      <c r="T36"/>
      <c r="U36"/>
      <c r="V36"/>
      <c r="W36" s="15"/>
      <c r="X36" s="15"/>
      <c r="Y36" s="15"/>
      <c r="Z36" s="15"/>
      <c r="AA36"/>
    </row>
    <row r="37" spans="2:27" ht="14.5">
      <c r="B37" s="8" t="s">
        <v>35</v>
      </c>
      <c r="C37" s="17">
        <v>90.843434759999994</v>
      </c>
      <c r="D37" s="17">
        <v>114.83274681</v>
      </c>
      <c r="E37" s="17">
        <v>119.28040976</v>
      </c>
      <c r="F37" s="17">
        <v>123.01599887</v>
      </c>
      <c r="G37" s="17">
        <v>127.85574153</v>
      </c>
      <c r="H37" s="17">
        <v>132.57922163999999</v>
      </c>
      <c r="I37" s="17">
        <v>137.40236074000001</v>
      </c>
      <c r="J37"/>
      <c r="K37" s="16"/>
      <c r="L37" s="16"/>
      <c r="M37" s="16"/>
      <c r="N37" s="16"/>
      <c r="O37" s="16"/>
      <c r="P37"/>
      <c r="Q37"/>
      <c r="R37"/>
      <c r="S37"/>
      <c r="T37"/>
      <c r="U37"/>
      <c r="V37"/>
      <c r="W37" s="15"/>
      <c r="X37" s="15"/>
      <c r="Y37" s="15"/>
      <c r="Z37" s="15"/>
      <c r="AA37"/>
    </row>
    <row r="38" spans="2:27" ht="14.5">
      <c r="B38" s="8" t="s">
        <v>29</v>
      </c>
      <c r="C38" s="17">
        <v>38.892279240000001</v>
      </c>
      <c r="D38" s="17">
        <v>49.969742220000001</v>
      </c>
      <c r="E38" s="17">
        <v>51.271702169999998</v>
      </c>
      <c r="F38" s="17">
        <v>52.95997887</v>
      </c>
      <c r="G38" s="17">
        <v>55.174134979999998</v>
      </c>
      <c r="H38" s="17">
        <v>57.175082359999998</v>
      </c>
      <c r="I38" s="17">
        <v>58.676696399999997</v>
      </c>
      <c r="J38"/>
      <c r="K38" s="16"/>
      <c r="L38" s="16"/>
      <c r="M38" s="16"/>
      <c r="N38" s="16"/>
      <c r="O38" s="16"/>
      <c r="P38"/>
      <c r="Q38"/>
      <c r="R38"/>
      <c r="S38"/>
      <c r="T38"/>
      <c r="U38"/>
      <c r="V38"/>
      <c r="W38" s="15"/>
      <c r="X38" s="15"/>
      <c r="Y38" s="15"/>
      <c r="Z38" s="15"/>
      <c r="AA38"/>
    </row>
    <row r="39" spans="2:27" ht="14.5">
      <c r="B39" s="8" t="s">
        <v>37</v>
      </c>
      <c r="C39" s="17">
        <v>45.287885680000002</v>
      </c>
      <c r="D39" s="17">
        <v>36.59666215</v>
      </c>
      <c r="E39" s="17">
        <v>38.613670540000001</v>
      </c>
      <c r="F39" s="17">
        <v>39.710974350000001</v>
      </c>
      <c r="G39" s="17">
        <v>40.688376589999997</v>
      </c>
      <c r="H39" s="17">
        <v>41.974597660000001</v>
      </c>
      <c r="I39" s="17">
        <v>43.129637520000003</v>
      </c>
      <c r="J39"/>
      <c r="K39" s="16"/>
      <c r="L39" s="16"/>
      <c r="M39" s="16"/>
      <c r="N39" s="16"/>
      <c r="O39" s="16"/>
      <c r="P39"/>
      <c r="Q39"/>
      <c r="R39"/>
      <c r="S39"/>
      <c r="T39"/>
      <c r="U39"/>
      <c r="V39"/>
      <c r="W39" s="15"/>
      <c r="X39" s="15"/>
      <c r="Y39" s="15"/>
      <c r="Z39" s="15"/>
      <c r="AA39"/>
    </row>
    <row r="40" spans="2:27" ht="14.5">
      <c r="B40" s="8" t="s">
        <v>26</v>
      </c>
      <c r="C40" s="17">
        <v>7570.9115111599995</v>
      </c>
      <c r="D40" s="17">
        <v>7098.4094537500005</v>
      </c>
      <c r="E40" s="17">
        <v>7447.575067400001</v>
      </c>
      <c r="F40" s="17">
        <v>7765.49500945</v>
      </c>
      <c r="G40" s="17">
        <v>8091.6446384900009</v>
      </c>
      <c r="H40" s="17">
        <v>8409.8916141200007</v>
      </c>
      <c r="I40" s="17">
        <v>8725.8064325200012</v>
      </c>
      <c r="J40"/>
      <c r="K40" s="16"/>
      <c r="L40" s="16"/>
      <c r="M40" s="16"/>
      <c r="N40" s="16"/>
      <c r="O40" s="16"/>
      <c r="P40"/>
      <c r="Q40"/>
      <c r="R40"/>
      <c r="S40"/>
      <c r="T40"/>
      <c r="U40"/>
      <c r="V40"/>
      <c r="W40" s="15"/>
      <c r="X40" s="15"/>
      <c r="Y40" s="15"/>
      <c r="Z40" s="15"/>
      <c r="AA40"/>
    </row>
    <row r="41" spans="2:27" ht="14.5">
      <c r="B41"/>
      <c r="C41"/>
      <c r="D41"/>
      <c r="E41"/>
      <c r="F41"/>
      <c r="G41"/>
      <c r="H41"/>
      <c r="I41"/>
      <c r="J41"/>
      <c r="K41"/>
      <c r="L41"/>
      <c r="M41"/>
      <c r="N41"/>
      <c r="O41"/>
      <c r="P41"/>
      <c r="Q41"/>
      <c r="R41"/>
      <c r="S41"/>
      <c r="T41"/>
      <c r="U41"/>
      <c r="V41"/>
      <c r="W41" s="15"/>
      <c r="X41" s="15"/>
      <c r="Y41" s="15"/>
      <c r="Z41" s="15"/>
      <c r="AA41"/>
    </row>
    <row r="42" spans="2:27" ht="14.5">
      <c r="B42"/>
      <c r="C42"/>
      <c r="D42"/>
      <c r="E42"/>
      <c r="F42"/>
      <c r="G42"/>
      <c r="H42"/>
      <c r="I42"/>
      <c r="J42"/>
      <c r="K42"/>
      <c r="L42"/>
      <c r="M42"/>
      <c r="N42"/>
      <c r="O42"/>
      <c r="P42"/>
      <c r="Q42"/>
      <c r="R42"/>
      <c r="S42"/>
      <c r="T42"/>
      <c r="U42"/>
      <c r="V42"/>
      <c r="W42" s="15"/>
      <c r="X42" s="15"/>
      <c r="Y42" s="15"/>
      <c r="Z42" s="15"/>
      <c r="AA42"/>
    </row>
    <row r="43" spans="2:27" ht="14.5">
      <c r="B43"/>
      <c r="C43"/>
      <c r="D43"/>
      <c r="E43"/>
      <c r="F43"/>
      <c r="G43"/>
      <c r="H43"/>
      <c r="I43"/>
      <c r="J43"/>
      <c r="K43"/>
      <c r="L43"/>
      <c r="M43"/>
      <c r="N43"/>
      <c r="O43"/>
      <c r="P43"/>
      <c r="Q43"/>
      <c r="R43"/>
      <c r="S43"/>
      <c r="T43"/>
      <c r="U43"/>
      <c r="V43"/>
      <c r="W43" s="15"/>
      <c r="X43" s="15"/>
      <c r="Y43" s="15"/>
      <c r="Z43" s="15"/>
      <c r="AA43"/>
    </row>
    <row r="44" spans="2:27" ht="14.5">
      <c r="B44"/>
      <c r="C44"/>
      <c r="D44"/>
      <c r="E44"/>
      <c r="F44"/>
      <c r="G44"/>
      <c r="H44"/>
      <c r="I44"/>
      <c r="J44"/>
      <c r="K44"/>
      <c r="L44"/>
      <c r="M44"/>
      <c r="N44"/>
      <c r="O44"/>
      <c r="P44"/>
      <c r="Q44"/>
      <c r="R44"/>
      <c r="S44"/>
      <c r="T44"/>
      <c r="U44"/>
      <c r="V44"/>
      <c r="W44" s="15"/>
      <c r="X44" s="15"/>
      <c r="Y44" s="15"/>
      <c r="Z44" s="15"/>
      <c r="AA44"/>
    </row>
    <row r="45" spans="2:27" ht="14.5">
      <c r="B45"/>
      <c r="C45"/>
      <c r="D45"/>
      <c r="E45"/>
      <c r="F45"/>
      <c r="G45"/>
      <c r="H45"/>
      <c r="I45"/>
      <c r="J45"/>
      <c r="K45"/>
      <c r="L45"/>
      <c r="M45"/>
      <c r="N45"/>
      <c r="O45"/>
      <c r="P45"/>
      <c r="Q45"/>
      <c r="R45"/>
      <c r="S45"/>
      <c r="T45"/>
      <c r="U45"/>
      <c r="V45"/>
      <c r="W45" s="15"/>
      <c r="X45" s="15"/>
      <c r="Y45" s="15"/>
      <c r="Z45" s="15"/>
      <c r="AA45"/>
    </row>
    <row r="46" spans="2:27" ht="14.5">
      <c r="B46"/>
      <c r="C46"/>
      <c r="D46"/>
      <c r="E46"/>
      <c r="F46"/>
      <c r="G46"/>
      <c r="H46"/>
      <c r="I46"/>
      <c r="J46"/>
      <c r="K46"/>
      <c r="L46"/>
      <c r="M46"/>
      <c r="N46"/>
      <c r="O46"/>
      <c r="P46"/>
      <c r="Q46"/>
      <c r="R46"/>
      <c r="S46"/>
      <c r="T46"/>
      <c r="U46"/>
      <c r="V46"/>
      <c r="W46" s="15"/>
      <c r="X46" s="15"/>
      <c r="Y46" s="15"/>
      <c r="Z46" s="15"/>
      <c r="AA46"/>
    </row>
    <row r="47" spans="2:27" ht="14.5">
      <c r="B47"/>
      <c r="C47"/>
      <c r="D47"/>
      <c r="E47"/>
      <c r="F47"/>
      <c r="G47"/>
      <c r="H47"/>
      <c r="I47"/>
      <c r="J47"/>
      <c r="K47"/>
      <c r="L47"/>
      <c r="M47"/>
      <c r="N47"/>
      <c r="O47"/>
      <c r="P47"/>
      <c r="Q47"/>
      <c r="R47"/>
      <c r="S47"/>
      <c r="T47"/>
      <c r="U47"/>
      <c r="V47"/>
      <c r="W47" s="15"/>
      <c r="X47" s="15"/>
      <c r="Y47" s="15"/>
      <c r="Z47" s="15"/>
      <c r="AA47"/>
    </row>
    <row r="48" spans="2:27" ht="14.5">
      <c r="B48"/>
      <c r="C48"/>
      <c r="D48"/>
      <c r="E48"/>
      <c r="F48" s="15"/>
      <c r="G48" s="15"/>
      <c r="H48" s="15"/>
      <c r="I48" s="15"/>
      <c r="J48"/>
      <c r="K48"/>
      <c r="L48"/>
      <c r="M48"/>
      <c r="N48"/>
      <c r="O48"/>
      <c r="P48"/>
      <c r="Q48"/>
      <c r="R48"/>
      <c r="S48"/>
      <c r="T48"/>
      <c r="U48"/>
      <c r="V48"/>
      <c r="W48" s="15"/>
      <c r="X48" s="15"/>
      <c r="Y48" s="15"/>
      <c r="Z48" s="15"/>
      <c r="AA48"/>
    </row>
    <row r="49" spans="2:27" ht="14.5">
      <c r="B49"/>
      <c r="C49"/>
      <c r="D49"/>
      <c r="E49"/>
      <c r="F49" s="15"/>
      <c r="G49" s="15"/>
      <c r="H49" s="15"/>
      <c r="I49" s="15"/>
      <c r="J49"/>
      <c r="K49"/>
      <c r="L49"/>
      <c r="M49"/>
      <c r="N49"/>
      <c r="O49"/>
      <c r="P49"/>
      <c r="Q49"/>
      <c r="R49"/>
      <c r="S49"/>
      <c r="T49"/>
      <c r="U49"/>
      <c r="V49"/>
      <c r="W49" s="15"/>
      <c r="X49" s="15"/>
      <c r="Y49" s="15"/>
      <c r="Z49" s="15"/>
      <c r="AA49"/>
    </row>
    <row r="50" spans="2:27" ht="14.5">
      <c r="B50"/>
      <c r="C50"/>
      <c r="D50"/>
      <c r="E50"/>
      <c r="F50" s="15"/>
      <c r="G50" s="15"/>
      <c r="H50" s="15"/>
      <c r="I50" s="15"/>
      <c r="J50"/>
      <c r="K50"/>
      <c r="L50"/>
      <c r="M50"/>
      <c r="N50"/>
      <c r="O50"/>
      <c r="P50"/>
      <c r="Q50"/>
      <c r="R50"/>
      <c r="S50"/>
      <c r="T50"/>
      <c r="U50"/>
      <c r="V50"/>
      <c r="W50" s="15"/>
      <c r="X50" s="15"/>
      <c r="Y50" s="15"/>
      <c r="Z50" s="15"/>
      <c r="AA50"/>
    </row>
    <row r="51" spans="2:27" ht="14.5">
      <c r="B51"/>
      <c r="C51"/>
      <c r="D51"/>
      <c r="E51"/>
      <c r="F51" s="15"/>
      <c r="G51" s="15"/>
      <c r="H51" s="15"/>
      <c r="I51" s="15"/>
      <c r="J51"/>
      <c r="K51"/>
      <c r="L51"/>
      <c r="M51"/>
      <c r="N51"/>
      <c r="O51"/>
      <c r="P51"/>
      <c r="Q51"/>
      <c r="R51"/>
      <c r="S51"/>
      <c r="T51"/>
      <c r="U51"/>
      <c r="V51"/>
      <c r="W51" s="15"/>
      <c r="X51" s="15"/>
      <c r="Y51" s="15"/>
      <c r="Z51" s="15"/>
      <c r="AA51"/>
    </row>
    <row r="52" spans="2:27" ht="14.5">
      <c r="B52"/>
      <c r="C52"/>
      <c r="D52"/>
      <c r="E52"/>
      <c r="F52" s="15"/>
      <c r="G52" s="15"/>
      <c r="H52" s="15"/>
      <c r="I52" s="15"/>
      <c r="J52"/>
      <c r="K52"/>
      <c r="L52"/>
      <c r="M52"/>
      <c r="N52"/>
      <c r="O52"/>
      <c r="P52"/>
      <c r="Q52"/>
      <c r="R52"/>
      <c r="S52"/>
      <c r="T52"/>
      <c r="U52"/>
      <c r="V52"/>
      <c r="W52" s="15"/>
      <c r="X52" s="15"/>
      <c r="Y52" s="15"/>
      <c r="Z52" s="15"/>
      <c r="AA52"/>
    </row>
    <row r="53" spans="2:27" ht="14.5">
      <c r="B53"/>
      <c r="C53"/>
      <c r="D53"/>
      <c r="E53"/>
      <c r="F53" s="15"/>
      <c r="G53" s="15"/>
      <c r="H53" s="15"/>
      <c r="I53" s="15"/>
      <c r="J53"/>
      <c r="K53"/>
      <c r="L53"/>
      <c r="M53"/>
      <c r="N53"/>
      <c r="O53"/>
      <c r="P53"/>
      <c r="Q53"/>
      <c r="R53"/>
      <c r="S53"/>
      <c r="T53"/>
      <c r="U53"/>
      <c r="V53"/>
      <c r="W53" s="15"/>
      <c r="X53" s="15"/>
      <c r="Y53" s="15"/>
      <c r="Z53" s="15"/>
      <c r="AA53"/>
    </row>
    <row r="54" spans="2:27" ht="14.5">
      <c r="B54"/>
      <c r="C54"/>
      <c r="D54"/>
      <c r="E54"/>
      <c r="F54" s="15"/>
      <c r="G54" s="15"/>
      <c r="H54" s="15"/>
      <c r="I54" s="15"/>
      <c r="J54"/>
      <c r="K54"/>
      <c r="L54"/>
      <c r="M54"/>
      <c r="N54"/>
      <c r="O54"/>
      <c r="P54"/>
      <c r="Q54"/>
      <c r="R54"/>
      <c r="S54"/>
      <c r="T54"/>
      <c r="U54"/>
      <c r="V54"/>
      <c r="W54" s="15"/>
      <c r="X54" s="15"/>
      <c r="Y54" s="15"/>
      <c r="Z54" s="15"/>
      <c r="AA54"/>
    </row>
    <row r="55" spans="2:27" ht="14.5">
      <c r="B55"/>
      <c r="C55"/>
      <c r="D55"/>
      <c r="E55"/>
      <c r="F55" s="15"/>
      <c r="G55" s="15"/>
      <c r="H55" s="15"/>
      <c r="I55" s="15"/>
      <c r="J55"/>
      <c r="K55"/>
      <c r="L55"/>
      <c r="M55"/>
      <c r="N55"/>
      <c r="O55"/>
      <c r="P55"/>
      <c r="Q55"/>
      <c r="R55"/>
      <c r="S55"/>
      <c r="T55"/>
      <c r="U55"/>
      <c r="V55"/>
      <c r="W55" s="15"/>
      <c r="X55" s="15"/>
      <c r="Y55" s="15"/>
      <c r="Z55" s="15"/>
      <c r="AA55"/>
    </row>
    <row r="56" spans="2:27" ht="14.5">
      <c r="B56"/>
      <c r="C56"/>
      <c r="D56"/>
      <c r="E56"/>
      <c r="F56" s="15"/>
      <c r="G56" s="15"/>
      <c r="H56" s="15"/>
      <c r="I56" s="15"/>
      <c r="J56"/>
      <c r="K56"/>
      <c r="L56"/>
      <c r="M56"/>
      <c r="N56"/>
      <c r="O56"/>
      <c r="P56"/>
      <c r="Q56"/>
      <c r="R56"/>
      <c r="S56"/>
      <c r="T56"/>
      <c r="U56"/>
      <c r="V56"/>
      <c r="W56" s="15"/>
      <c r="X56" s="15"/>
      <c r="Y56" s="15"/>
      <c r="Z56" s="15"/>
      <c r="AA56"/>
    </row>
    <row r="57" spans="2:27" ht="14.5">
      <c r="B57"/>
      <c r="C57"/>
      <c r="D57"/>
      <c r="E57"/>
      <c r="F57" s="15"/>
      <c r="G57" s="15"/>
      <c r="H57" s="15"/>
      <c r="I57" s="15"/>
      <c r="J57"/>
      <c r="K57"/>
      <c r="L57"/>
      <c r="M57"/>
      <c r="N57"/>
      <c r="O57"/>
      <c r="P57"/>
      <c r="Q57"/>
      <c r="R57"/>
      <c r="S57"/>
      <c r="T57"/>
      <c r="U57"/>
      <c r="V57"/>
      <c r="W57" s="15"/>
      <c r="X57" s="15"/>
      <c r="Y57" s="15"/>
      <c r="Z57" s="15"/>
    </row>
    <row r="58" spans="2:27" ht="14.5">
      <c r="B58"/>
      <c r="C58"/>
      <c r="D58"/>
      <c r="E58"/>
      <c r="F58" s="15"/>
      <c r="G58" s="15"/>
      <c r="H58" s="15"/>
      <c r="I58" s="15"/>
      <c r="J58"/>
      <c r="K58"/>
      <c r="L58"/>
      <c r="M58"/>
      <c r="N58"/>
      <c r="O58"/>
      <c r="P58"/>
      <c r="Q58"/>
      <c r="R58"/>
      <c r="S58"/>
      <c r="T58"/>
      <c r="U58"/>
      <c r="V58"/>
      <c r="W58" s="15"/>
      <c r="X58" s="15"/>
      <c r="Y58" s="15"/>
      <c r="Z58" s="15"/>
    </row>
    <row r="59" spans="2:27" ht="14.5">
      <c r="B59"/>
      <c r="C59"/>
      <c r="D59"/>
      <c r="E59"/>
      <c r="F59"/>
      <c r="G59"/>
      <c r="H59"/>
      <c r="I59"/>
      <c r="J59"/>
      <c r="K59"/>
      <c r="L59"/>
      <c r="M59"/>
      <c r="N59"/>
      <c r="O59"/>
      <c r="P59"/>
      <c r="Q59"/>
      <c r="R59"/>
      <c r="S59"/>
      <c r="T59"/>
      <c r="U59"/>
      <c r="V59"/>
      <c r="W59" s="15"/>
      <c r="X59" s="15"/>
      <c r="Y59" s="15"/>
      <c r="Z59" s="15"/>
    </row>
    <row r="60" spans="2:27" ht="14.5">
      <c r="B60"/>
      <c r="C60"/>
      <c r="D60"/>
      <c r="E60"/>
      <c r="F60"/>
      <c r="G60"/>
      <c r="H60"/>
      <c r="I60"/>
      <c r="J60"/>
      <c r="K60"/>
      <c r="L60"/>
      <c r="M60"/>
      <c r="N60"/>
      <c r="O60"/>
      <c r="P60"/>
      <c r="Q60"/>
      <c r="R60"/>
      <c r="S60"/>
      <c r="T60"/>
      <c r="U60"/>
      <c r="V60"/>
      <c r="W60" s="15"/>
      <c r="X60" s="15"/>
      <c r="Y60" s="15"/>
      <c r="Z60" s="15"/>
    </row>
    <row r="61" spans="2:27" ht="14.5">
      <c r="B61"/>
      <c r="C61"/>
      <c r="D61"/>
      <c r="E61"/>
      <c r="F61"/>
      <c r="G61"/>
      <c r="H61"/>
      <c r="I61"/>
      <c r="J61"/>
      <c r="K61"/>
      <c r="L61"/>
      <c r="M61"/>
      <c r="N61"/>
      <c r="O61"/>
      <c r="P61"/>
      <c r="Q61"/>
      <c r="R61"/>
      <c r="S61"/>
      <c r="T61"/>
      <c r="U61"/>
      <c r="V61"/>
      <c r="W61" s="15"/>
      <c r="X61" s="15"/>
      <c r="Y61" s="15"/>
      <c r="Z61" s="15"/>
    </row>
    <row r="62" spans="2:27" ht="14.5">
      <c r="B62"/>
      <c r="C62"/>
      <c r="D62"/>
      <c r="E62"/>
      <c r="F62"/>
      <c r="G62"/>
      <c r="H62"/>
      <c r="I62"/>
      <c r="J62"/>
      <c r="K62"/>
      <c r="L62"/>
      <c r="M62"/>
      <c r="N62"/>
      <c r="O62"/>
      <c r="P62"/>
      <c r="Q62"/>
      <c r="R62"/>
      <c r="S62"/>
      <c r="T62"/>
      <c r="U62"/>
      <c r="V62"/>
      <c r="W62" s="15"/>
      <c r="X62" s="15"/>
      <c r="Y62" s="15"/>
      <c r="Z62" s="15"/>
    </row>
    <row r="63" spans="2:27" ht="14.5">
      <c r="B63"/>
      <c r="C63"/>
      <c r="D63"/>
      <c r="E63"/>
      <c r="F63"/>
      <c r="G63"/>
      <c r="H63"/>
      <c r="I63"/>
      <c r="J63"/>
      <c r="K63"/>
      <c r="L63"/>
      <c r="M63"/>
      <c r="N63"/>
      <c r="O63"/>
      <c r="P63"/>
      <c r="Q63"/>
      <c r="R63"/>
      <c r="S63"/>
      <c r="T63"/>
      <c r="U63"/>
      <c r="V63"/>
      <c r="W63" s="15"/>
      <c r="X63" s="15"/>
      <c r="Y63" s="15"/>
      <c r="Z63" s="15"/>
    </row>
    <row r="64" spans="2:27" ht="14.5">
      <c r="B64"/>
      <c r="C64"/>
      <c r="D64"/>
      <c r="E64"/>
      <c r="F64"/>
      <c r="G64"/>
      <c r="H64"/>
      <c r="I64"/>
      <c r="J64"/>
      <c r="K64"/>
      <c r="L64"/>
      <c r="M64"/>
      <c r="N64"/>
      <c r="O64"/>
      <c r="P64"/>
      <c r="Q64"/>
      <c r="R64"/>
      <c r="S64"/>
      <c r="T64"/>
      <c r="U64"/>
      <c r="V64"/>
      <c r="W64" s="15"/>
      <c r="X64" s="15"/>
      <c r="Y64" s="15"/>
      <c r="Z64" s="15"/>
    </row>
    <row r="65" spans="2:26" ht="14.5">
      <c r="B65"/>
      <c r="C65"/>
      <c r="D65"/>
      <c r="E65"/>
      <c r="F65"/>
      <c r="G65"/>
      <c r="H65"/>
      <c r="I65"/>
      <c r="J65"/>
      <c r="K65"/>
      <c r="L65"/>
      <c r="M65"/>
      <c r="N65"/>
      <c r="O65"/>
      <c r="P65"/>
      <c r="Q65"/>
      <c r="R65"/>
      <c r="S65"/>
      <c r="T65"/>
      <c r="U65"/>
      <c r="V65"/>
      <c r="W65"/>
      <c r="X65"/>
      <c r="Y65"/>
      <c r="Z65"/>
    </row>
    <row r="66" spans="2:26" ht="14.5">
      <c r="B66"/>
      <c r="C66"/>
      <c r="D66"/>
      <c r="E66"/>
      <c r="F66"/>
      <c r="G66"/>
      <c r="H66"/>
      <c r="I66"/>
      <c r="J66"/>
      <c r="K66"/>
      <c r="U66"/>
      <c r="V66"/>
      <c r="W66"/>
      <c r="X66"/>
      <c r="Y66"/>
    </row>
    <row r="67" spans="2:26" ht="14.5">
      <c r="B67"/>
      <c r="C67"/>
      <c r="D67"/>
      <c r="E67"/>
      <c r="F67"/>
      <c r="G67"/>
      <c r="H67"/>
      <c r="I67"/>
      <c r="J67"/>
      <c r="K67"/>
      <c r="U67"/>
      <c r="V67"/>
      <c r="W67"/>
      <c r="X67"/>
      <c r="Y67"/>
    </row>
    <row r="68" spans="2:26" ht="14.5">
      <c r="B68"/>
      <c r="C68"/>
      <c r="D68"/>
      <c r="E68"/>
      <c r="F68"/>
      <c r="G68"/>
      <c r="H68"/>
      <c r="I68"/>
      <c r="J68"/>
      <c r="K68"/>
      <c r="U68"/>
      <c r="V68"/>
      <c r="W68"/>
      <c r="X68"/>
      <c r="Y68"/>
    </row>
    <row r="69" spans="2:26" ht="14.5">
      <c r="B69"/>
      <c r="C69"/>
      <c r="D69"/>
      <c r="E69"/>
      <c r="F69"/>
      <c r="G69"/>
      <c r="H69"/>
      <c r="I69"/>
      <c r="J69"/>
      <c r="K69"/>
      <c r="U69"/>
      <c r="V69"/>
      <c r="W69"/>
      <c r="X69"/>
      <c r="Y69"/>
    </row>
    <row r="70" spans="2:26" ht="14.5">
      <c r="B70"/>
      <c r="C70"/>
      <c r="D70"/>
      <c r="E70"/>
      <c r="F70"/>
      <c r="G70"/>
      <c r="H70"/>
      <c r="I70"/>
      <c r="J70"/>
      <c r="K70"/>
      <c r="U70"/>
      <c r="V70"/>
      <c r="W70"/>
      <c r="X70"/>
      <c r="Y70"/>
    </row>
    <row r="71" spans="2:26" ht="14.5">
      <c r="B71"/>
      <c r="C71"/>
      <c r="D71"/>
      <c r="E71"/>
      <c r="F71"/>
      <c r="G71"/>
      <c r="H71"/>
      <c r="I71"/>
      <c r="J71"/>
      <c r="K71"/>
      <c r="L71"/>
      <c r="M71"/>
      <c r="N71"/>
      <c r="O71"/>
      <c r="P71"/>
      <c r="Q71"/>
      <c r="R71"/>
      <c r="S71"/>
      <c r="T71"/>
      <c r="U71"/>
      <c r="V71"/>
      <c r="W71" s="15"/>
      <c r="X71" s="15"/>
      <c r="Y71" s="15"/>
      <c r="Z71" s="15"/>
    </row>
    <row r="72" spans="2:26" ht="14.5">
      <c r="B72"/>
      <c r="C72"/>
      <c r="D72"/>
      <c r="E72"/>
      <c r="F72"/>
      <c r="G72"/>
      <c r="H72"/>
      <c r="I72"/>
      <c r="J72"/>
      <c r="K72"/>
      <c r="L72"/>
      <c r="M72"/>
      <c r="N72"/>
      <c r="O72"/>
      <c r="P72"/>
      <c r="Q72"/>
      <c r="R72"/>
      <c r="S72"/>
      <c r="T72"/>
      <c r="U72"/>
      <c r="V72"/>
      <c r="W72" s="15"/>
      <c r="X72" s="15"/>
      <c r="Y72" s="15"/>
      <c r="Z72" s="15"/>
    </row>
    <row r="73" spans="2:26" ht="14.5">
      <c r="B73"/>
      <c r="C73"/>
      <c r="D73"/>
      <c r="E73"/>
      <c r="F73"/>
      <c r="G73"/>
      <c r="H73"/>
      <c r="I73"/>
      <c r="J73"/>
      <c r="K73"/>
      <c r="L73"/>
      <c r="M73"/>
      <c r="N73"/>
      <c r="O73"/>
      <c r="P73"/>
      <c r="Q73"/>
      <c r="R73"/>
      <c r="S73"/>
      <c r="T73"/>
      <c r="U73"/>
      <c r="V73"/>
      <c r="W73" s="15"/>
      <c r="X73" s="15"/>
      <c r="Y73" s="15"/>
      <c r="Z73" s="15"/>
    </row>
    <row r="74" spans="2:26" ht="14.5">
      <c r="B74"/>
      <c r="C74"/>
      <c r="D74"/>
      <c r="E74"/>
      <c r="F74"/>
      <c r="G74"/>
      <c r="H74"/>
      <c r="I74"/>
      <c r="J74"/>
      <c r="K74"/>
      <c r="L74"/>
      <c r="M74"/>
      <c r="N74"/>
      <c r="O74"/>
      <c r="P74"/>
      <c r="Q74"/>
      <c r="R74"/>
      <c r="S74"/>
      <c r="T74"/>
      <c r="U74"/>
      <c r="V74"/>
      <c r="W74" s="15"/>
      <c r="X74" s="15"/>
      <c r="Y74" s="15"/>
      <c r="Z74" s="15"/>
    </row>
    <row r="75" spans="2:26" ht="14.5">
      <c r="B75"/>
      <c r="C75"/>
      <c r="D75"/>
      <c r="E75"/>
      <c r="F75"/>
      <c r="G75"/>
      <c r="H75"/>
      <c r="I75"/>
      <c r="J75"/>
      <c r="K75"/>
      <c r="L75"/>
      <c r="M75"/>
      <c r="N75"/>
      <c r="O75"/>
      <c r="P75"/>
      <c r="Q75"/>
      <c r="R75"/>
      <c r="S75"/>
      <c r="T75"/>
      <c r="U75"/>
      <c r="V75"/>
      <c r="W75" s="15"/>
      <c r="X75" s="15"/>
      <c r="Y75" s="15"/>
      <c r="Z75" s="15"/>
    </row>
    <row r="76" spans="2:26" ht="14.5">
      <c r="B76"/>
      <c r="C76"/>
      <c r="D76"/>
      <c r="E76"/>
      <c r="F76"/>
      <c r="G76"/>
      <c r="H76"/>
      <c r="I76"/>
      <c r="J76"/>
      <c r="K76"/>
      <c r="L76"/>
      <c r="M76"/>
      <c r="N76"/>
      <c r="O76"/>
      <c r="P76"/>
      <c r="Q76"/>
      <c r="R76"/>
      <c r="S76"/>
      <c r="T76"/>
      <c r="U76"/>
      <c r="V76"/>
      <c r="W76" s="15"/>
      <c r="X76" s="15"/>
      <c r="Y76" s="15"/>
      <c r="Z76" s="15"/>
    </row>
    <row r="77" spans="2:26" ht="14.5">
      <c r="B77"/>
      <c r="C77"/>
      <c r="D77"/>
      <c r="E77"/>
      <c r="F77"/>
      <c r="G77"/>
      <c r="H77"/>
      <c r="I77"/>
      <c r="J77"/>
      <c r="K77"/>
      <c r="L77"/>
      <c r="M77"/>
      <c r="N77"/>
      <c r="O77"/>
      <c r="P77"/>
      <c r="Q77"/>
      <c r="R77"/>
      <c r="S77"/>
      <c r="T77"/>
      <c r="U77"/>
      <c r="V77"/>
      <c r="W77" s="15"/>
      <c r="X77" s="15"/>
      <c r="Y77" s="15"/>
      <c r="Z77" s="15"/>
    </row>
    <row r="78" spans="2:26" ht="14.5">
      <c r="B78"/>
      <c r="C78"/>
      <c r="D78"/>
      <c r="E78"/>
      <c r="F78"/>
      <c r="G78"/>
      <c r="H78"/>
      <c r="I78"/>
      <c r="J78"/>
      <c r="K78"/>
      <c r="L78"/>
      <c r="M78"/>
      <c r="N78"/>
      <c r="O78"/>
      <c r="P78"/>
      <c r="Q78"/>
      <c r="R78"/>
      <c r="S78"/>
      <c r="T78"/>
      <c r="U78"/>
      <c r="V78"/>
      <c r="W78" s="15"/>
      <c r="X78" s="15"/>
      <c r="Y78" s="15"/>
      <c r="Z78" s="15"/>
    </row>
    <row r="79" spans="2:26" ht="14.5">
      <c r="B79"/>
      <c r="C79"/>
      <c r="D79"/>
      <c r="E79"/>
      <c r="F79"/>
      <c r="G79"/>
      <c r="H79"/>
      <c r="I79"/>
      <c r="J79"/>
      <c r="K79"/>
      <c r="L79"/>
      <c r="M79"/>
      <c r="N79"/>
      <c r="O79"/>
      <c r="P79"/>
      <c r="Q79"/>
      <c r="R79"/>
      <c r="S79"/>
      <c r="T79"/>
      <c r="U79"/>
      <c r="V79"/>
      <c r="W79"/>
      <c r="X79"/>
      <c r="Y79"/>
    </row>
    <row r="80" spans="2:26" ht="14.5">
      <c r="B80"/>
      <c r="C80"/>
      <c r="D80"/>
      <c r="E80"/>
      <c r="F80"/>
      <c r="G80"/>
      <c r="H80"/>
      <c r="I80"/>
      <c r="J80"/>
      <c r="K80"/>
      <c r="L80"/>
      <c r="M80"/>
      <c r="N80"/>
      <c r="O80"/>
      <c r="P80"/>
      <c r="Q80"/>
      <c r="R80"/>
      <c r="S80"/>
      <c r="T80"/>
      <c r="U80"/>
      <c r="V80"/>
      <c r="W80"/>
      <c r="X80"/>
      <c r="Y80"/>
    </row>
    <row r="81" spans="2:25" ht="14.5">
      <c r="B81"/>
      <c r="C81"/>
      <c r="D81"/>
      <c r="E81"/>
      <c r="F81"/>
      <c r="G81"/>
      <c r="H81"/>
      <c r="I81"/>
      <c r="J81"/>
      <c r="K81"/>
      <c r="L81"/>
      <c r="M81"/>
      <c r="N81"/>
      <c r="O81"/>
      <c r="P81"/>
      <c r="Q81"/>
      <c r="R81"/>
      <c r="S81"/>
      <c r="T81"/>
      <c r="U81"/>
      <c r="V81"/>
      <c r="W81"/>
      <c r="X81"/>
      <c r="Y81"/>
    </row>
    <row r="82" spans="2:25" ht="14.5">
      <c r="B82"/>
      <c r="C82"/>
      <c r="D82"/>
      <c r="E82"/>
      <c r="F82"/>
      <c r="G82"/>
      <c r="H82"/>
      <c r="I82"/>
      <c r="J82"/>
      <c r="K82"/>
      <c r="L82"/>
      <c r="M82"/>
      <c r="N82"/>
      <c r="O82"/>
      <c r="P82"/>
      <c r="Q82"/>
      <c r="R82"/>
      <c r="S82"/>
      <c r="T82"/>
      <c r="U82"/>
      <c r="V82"/>
      <c r="W82"/>
      <c r="X82"/>
      <c r="Y82"/>
    </row>
    <row r="83" spans="2:25" ht="14.5">
      <c r="B83"/>
      <c r="C83"/>
      <c r="D83"/>
      <c r="E83"/>
      <c r="F83"/>
      <c r="G83"/>
      <c r="H83"/>
      <c r="I83"/>
      <c r="J83"/>
      <c r="K83"/>
      <c r="L83"/>
      <c r="M83"/>
      <c r="N83"/>
      <c r="O83"/>
      <c r="P83"/>
      <c r="Q83"/>
      <c r="R83"/>
      <c r="S83"/>
      <c r="T83"/>
      <c r="U83"/>
      <c r="V83"/>
      <c r="W83"/>
      <c r="X83"/>
      <c r="Y83"/>
    </row>
    <row r="84" spans="2:25" ht="14.5">
      <c r="B84"/>
      <c r="C84"/>
      <c r="D84"/>
      <c r="E84"/>
      <c r="F84"/>
      <c r="G84"/>
      <c r="H84"/>
      <c r="I84"/>
      <c r="J84"/>
      <c r="K84"/>
      <c r="L84"/>
      <c r="M84"/>
      <c r="N84"/>
      <c r="O84"/>
      <c r="P84"/>
      <c r="Q84"/>
      <c r="R84"/>
      <c r="S84"/>
      <c r="T84"/>
      <c r="U84"/>
      <c r="V84"/>
      <c r="W84"/>
      <c r="X84"/>
      <c r="Y84"/>
    </row>
    <row r="85" spans="2:25" ht="14.5">
      <c r="B85"/>
      <c r="C85"/>
      <c r="D85"/>
      <c r="E85"/>
      <c r="F85"/>
      <c r="G85"/>
      <c r="H85"/>
      <c r="I85"/>
      <c r="J85"/>
      <c r="K85"/>
      <c r="L85"/>
      <c r="M85"/>
      <c r="N85"/>
    </row>
    <row r="86" spans="2:25" ht="14.5">
      <c r="B86"/>
      <c r="C86"/>
      <c r="D86"/>
      <c r="E86"/>
      <c r="F86"/>
      <c r="G86"/>
      <c r="H86"/>
      <c r="I86"/>
      <c r="J86"/>
      <c r="K86"/>
      <c r="L86"/>
      <c r="M86"/>
      <c r="N86"/>
    </row>
    <row r="87" spans="2:25" ht="14.5">
      <c r="B87"/>
      <c r="C87"/>
      <c r="D87"/>
      <c r="E87"/>
      <c r="F87"/>
      <c r="G87"/>
      <c r="H87"/>
      <c r="I87"/>
      <c r="J87"/>
      <c r="K87"/>
      <c r="L87"/>
      <c r="M87"/>
      <c r="N87"/>
    </row>
    <row r="88" spans="2:25" ht="14.5">
      <c r="B88"/>
      <c r="C88"/>
      <c r="D88"/>
      <c r="E88"/>
      <c r="F88"/>
      <c r="G88"/>
      <c r="H88"/>
      <c r="I88"/>
      <c r="J88"/>
      <c r="K88"/>
      <c r="L88"/>
      <c r="M88"/>
      <c r="N88"/>
    </row>
    <row r="89" spans="2:25" ht="14.5">
      <c r="B89"/>
      <c r="C89"/>
      <c r="D89"/>
      <c r="E89"/>
      <c r="F89"/>
      <c r="G89"/>
      <c r="H89"/>
      <c r="I89"/>
      <c r="J89"/>
      <c r="K89"/>
      <c r="L89"/>
      <c r="M89"/>
      <c r="N89"/>
    </row>
    <row r="90" spans="2:25" ht="14.5">
      <c r="B90"/>
      <c r="C90"/>
      <c r="D90"/>
      <c r="E90"/>
      <c r="F90"/>
      <c r="G90"/>
      <c r="H90"/>
      <c r="I90"/>
      <c r="J90"/>
      <c r="K90"/>
      <c r="L90"/>
      <c r="M90"/>
      <c r="N90"/>
    </row>
    <row r="91" spans="2:25" ht="14.5">
      <c r="B91"/>
      <c r="C91"/>
      <c r="D91"/>
      <c r="E91"/>
      <c r="F91"/>
      <c r="G91"/>
      <c r="H91"/>
      <c r="I91"/>
      <c r="J91"/>
      <c r="K91"/>
      <c r="L91"/>
      <c r="M91"/>
      <c r="N91"/>
    </row>
    <row r="92" spans="2:25" ht="14.5">
      <c r="B92"/>
      <c r="C92"/>
      <c r="D92"/>
      <c r="E92"/>
      <c r="F92"/>
      <c r="G92"/>
      <c r="H92"/>
      <c r="I92"/>
      <c r="J92"/>
      <c r="K92"/>
      <c r="L92"/>
      <c r="M92"/>
      <c r="N92"/>
    </row>
    <row r="93" spans="2:25" ht="14.5">
      <c r="B93"/>
      <c r="C93"/>
      <c r="D93"/>
      <c r="E93"/>
      <c r="F93"/>
      <c r="G93"/>
      <c r="H93"/>
      <c r="I93"/>
      <c r="J93"/>
      <c r="K93"/>
      <c r="L93"/>
      <c r="M93"/>
      <c r="N93"/>
    </row>
    <row r="94" spans="2:25" ht="14.5">
      <c r="B94"/>
      <c r="C94"/>
      <c r="D94"/>
      <c r="E94"/>
      <c r="F94"/>
      <c r="G94"/>
      <c r="H94"/>
      <c r="I94"/>
      <c r="J94"/>
      <c r="K94"/>
      <c r="L94"/>
      <c r="M94"/>
      <c r="N94"/>
    </row>
    <row r="95" spans="2:25" ht="14.5">
      <c r="B95"/>
      <c r="C95"/>
      <c r="D95"/>
      <c r="E95"/>
      <c r="F95"/>
      <c r="G95"/>
      <c r="H95"/>
      <c r="I95"/>
      <c r="J95"/>
      <c r="K95"/>
      <c r="L95"/>
      <c r="M95"/>
      <c r="N95"/>
    </row>
    <row r="96" spans="2:25" ht="14.5">
      <c r="B96"/>
      <c r="C96"/>
      <c r="D96"/>
      <c r="E96"/>
      <c r="F96"/>
      <c r="G96"/>
      <c r="H96"/>
      <c r="I96"/>
      <c r="J96"/>
      <c r="K96"/>
      <c r="L96"/>
      <c r="M96"/>
      <c r="N96"/>
    </row>
    <row r="97" spans="2:14" ht="14.5">
      <c r="B97"/>
      <c r="C97"/>
      <c r="D97"/>
      <c r="E97"/>
      <c r="F97"/>
      <c r="G97"/>
      <c r="H97"/>
      <c r="I97"/>
      <c r="J97"/>
      <c r="K97"/>
      <c r="L97"/>
      <c r="M97"/>
      <c r="N97"/>
    </row>
    <row r="98" spans="2:14" ht="14.5">
      <c r="B98"/>
      <c r="C98"/>
      <c r="D98"/>
      <c r="E98"/>
      <c r="F98"/>
      <c r="G98"/>
      <c r="H98"/>
      <c r="I98"/>
      <c r="J98"/>
      <c r="K98"/>
      <c r="L98"/>
      <c r="M98"/>
      <c r="N98"/>
    </row>
    <row r="99" spans="2:14" ht="14.5">
      <c r="B99"/>
      <c r="C99"/>
      <c r="D99"/>
      <c r="E99"/>
      <c r="F99"/>
      <c r="G99"/>
      <c r="H99"/>
      <c r="I99"/>
      <c r="J99"/>
      <c r="K99"/>
      <c r="L99"/>
      <c r="M99"/>
      <c r="N99"/>
    </row>
    <row r="100" spans="2:14" ht="14.5">
      <c r="B100"/>
      <c r="C100"/>
      <c r="D100"/>
      <c r="E100"/>
      <c r="F100"/>
      <c r="G100"/>
      <c r="H100"/>
      <c r="I100"/>
      <c r="J100"/>
      <c r="K100"/>
      <c r="L100"/>
      <c r="M100"/>
      <c r="N100"/>
    </row>
    <row r="101" spans="2:14" ht="14.5">
      <c r="B101"/>
      <c r="C101"/>
      <c r="D101"/>
      <c r="E101"/>
      <c r="F101"/>
      <c r="G101"/>
      <c r="H101"/>
      <c r="I101"/>
      <c r="J101"/>
      <c r="K101"/>
      <c r="L101"/>
      <c r="M101"/>
      <c r="N101"/>
    </row>
    <row r="102" spans="2:14" ht="14.5">
      <c r="B102"/>
      <c r="C102"/>
      <c r="D102"/>
      <c r="E102"/>
      <c r="F102"/>
      <c r="G102"/>
      <c r="H102"/>
      <c r="I102"/>
      <c r="J102"/>
      <c r="K102"/>
      <c r="L102"/>
      <c r="M102"/>
      <c r="N102"/>
    </row>
    <row r="103" spans="2:14" ht="14.5">
      <c r="B103"/>
      <c r="C103"/>
      <c r="D103"/>
      <c r="E103"/>
      <c r="F103"/>
      <c r="G103"/>
      <c r="H103"/>
      <c r="I103"/>
      <c r="J103"/>
      <c r="K103"/>
      <c r="L103"/>
      <c r="M103"/>
      <c r="N103"/>
    </row>
    <row r="104" spans="2:14" ht="14.5">
      <c r="B104"/>
      <c r="C104"/>
      <c r="D104"/>
      <c r="E104"/>
      <c r="F104"/>
      <c r="G104"/>
      <c r="H104"/>
      <c r="I104"/>
      <c r="J104"/>
      <c r="K104"/>
      <c r="L104"/>
      <c r="M104"/>
      <c r="N104"/>
    </row>
    <row r="105" spans="2:14" ht="14.5">
      <c r="B105"/>
      <c r="C105"/>
      <c r="D105"/>
      <c r="E105"/>
      <c r="F105"/>
      <c r="G105"/>
      <c r="H105"/>
      <c r="I105"/>
      <c r="J105"/>
      <c r="K105"/>
      <c r="L105"/>
      <c r="M105"/>
      <c r="N105"/>
    </row>
    <row r="106" spans="2:14" ht="14.5">
      <c r="B106"/>
      <c r="C106"/>
      <c r="D106"/>
      <c r="E106"/>
      <c r="F106"/>
      <c r="G106"/>
      <c r="H106"/>
      <c r="I106"/>
      <c r="J106"/>
      <c r="K106"/>
      <c r="L106"/>
      <c r="M106"/>
      <c r="N106"/>
    </row>
    <row r="107" spans="2:14" ht="14.5">
      <c r="B107"/>
      <c r="C107"/>
      <c r="D107"/>
      <c r="E107"/>
      <c r="F107"/>
      <c r="G107"/>
      <c r="H107"/>
      <c r="I107"/>
      <c r="J107"/>
      <c r="K107"/>
      <c r="L107"/>
      <c r="M107"/>
      <c r="N107"/>
    </row>
    <row r="108" spans="2:14" ht="14.5">
      <c r="B108"/>
      <c r="C108"/>
      <c r="D108"/>
      <c r="E108"/>
      <c r="F108"/>
      <c r="G108"/>
      <c r="H108"/>
      <c r="I108"/>
      <c r="J108"/>
      <c r="K108"/>
      <c r="L108"/>
      <c r="M108"/>
      <c r="N108"/>
    </row>
    <row r="109" spans="2:14" ht="14.5">
      <c r="B109"/>
      <c r="C109"/>
      <c r="D109"/>
      <c r="E109"/>
      <c r="F109"/>
      <c r="G109"/>
      <c r="H109"/>
      <c r="I109"/>
      <c r="J109"/>
      <c r="K109"/>
      <c r="L109"/>
      <c r="M109"/>
      <c r="N109"/>
    </row>
    <row r="110" spans="2:14" ht="14.5">
      <c r="B110"/>
      <c r="C110"/>
      <c r="D110"/>
      <c r="E110"/>
      <c r="F110"/>
      <c r="G110"/>
      <c r="H110"/>
      <c r="I110"/>
      <c r="J110"/>
      <c r="K110"/>
      <c r="L110"/>
      <c r="M110"/>
      <c r="N110"/>
    </row>
    <row r="111" spans="2:14" ht="14.5">
      <c r="B111"/>
      <c r="C111"/>
      <c r="D111"/>
      <c r="E111"/>
      <c r="F111"/>
      <c r="G111"/>
      <c r="H111"/>
      <c r="I111"/>
      <c r="J111"/>
      <c r="K111"/>
      <c r="L111"/>
      <c r="M111"/>
      <c r="N111"/>
    </row>
    <row r="112" spans="2:14" ht="14.5">
      <c r="B112"/>
      <c r="C112"/>
      <c r="D112"/>
      <c r="E112"/>
      <c r="F112"/>
      <c r="G112"/>
      <c r="H112"/>
      <c r="I112"/>
      <c r="J112"/>
      <c r="K112"/>
      <c r="L112"/>
      <c r="M112"/>
      <c r="N112"/>
    </row>
    <row r="113" spans="2:14" ht="14.5">
      <c r="B113"/>
      <c r="C113"/>
      <c r="D113"/>
      <c r="E113"/>
      <c r="F113"/>
      <c r="G113"/>
      <c r="H113"/>
      <c r="I113"/>
      <c r="J113"/>
      <c r="K113"/>
      <c r="L113"/>
      <c r="M113"/>
      <c r="N113"/>
    </row>
    <row r="114" spans="2:14" ht="14.5">
      <c r="B114"/>
      <c r="C114"/>
      <c r="D114"/>
      <c r="E114"/>
      <c r="F114"/>
      <c r="G114"/>
      <c r="H114"/>
      <c r="I114"/>
      <c r="J114"/>
      <c r="K114"/>
      <c r="L114"/>
      <c r="M114"/>
      <c r="N114"/>
    </row>
    <row r="115" spans="2:14" ht="14.5">
      <c r="B115"/>
      <c r="C115"/>
      <c r="D115"/>
      <c r="E115"/>
      <c r="F115"/>
      <c r="G115"/>
      <c r="H115"/>
      <c r="I115"/>
      <c r="J115"/>
      <c r="K115"/>
      <c r="L115"/>
      <c r="M115"/>
      <c r="N115"/>
    </row>
    <row r="116" spans="2:14" ht="14.5">
      <c r="B116"/>
      <c r="C116"/>
      <c r="D116"/>
      <c r="E116"/>
      <c r="F116"/>
      <c r="G116"/>
      <c r="H116"/>
      <c r="I116"/>
      <c r="J116"/>
      <c r="K116"/>
      <c r="L116"/>
      <c r="M116"/>
      <c r="N116"/>
    </row>
    <row r="117" spans="2:14" ht="14.5">
      <c r="B117"/>
      <c r="C117"/>
      <c r="D117"/>
      <c r="E117"/>
      <c r="F117"/>
      <c r="G117"/>
      <c r="H117"/>
      <c r="I117"/>
      <c r="J117"/>
      <c r="K117"/>
      <c r="L117"/>
      <c r="M117"/>
      <c r="N117"/>
    </row>
    <row r="118" spans="2:14" ht="14.5">
      <c r="B118"/>
      <c r="C118"/>
      <c r="D118"/>
      <c r="E118"/>
      <c r="F118"/>
      <c r="G118"/>
      <c r="H118"/>
      <c r="I118"/>
      <c r="J118"/>
      <c r="K118"/>
      <c r="L118"/>
      <c r="M118"/>
      <c r="N118"/>
    </row>
    <row r="119" spans="2:14" ht="14.5">
      <c r="B119"/>
      <c r="C119"/>
      <c r="D119"/>
      <c r="E119"/>
      <c r="F119"/>
      <c r="G119"/>
      <c r="H119"/>
      <c r="I119"/>
      <c r="J119"/>
      <c r="K119"/>
      <c r="L119"/>
      <c r="M119"/>
      <c r="N119"/>
    </row>
    <row r="120" spans="2:14" ht="14.5">
      <c r="B120"/>
      <c r="C120"/>
      <c r="D120"/>
      <c r="E120"/>
      <c r="F120"/>
      <c r="G120"/>
      <c r="H120"/>
      <c r="I120"/>
      <c r="J120"/>
      <c r="K120"/>
      <c r="L120"/>
      <c r="M120"/>
      <c r="N120"/>
    </row>
    <row r="121" spans="2:14" ht="14.5">
      <c r="B121"/>
      <c r="C121"/>
      <c r="D121"/>
      <c r="E121"/>
      <c r="F121"/>
      <c r="G121"/>
      <c r="H121"/>
      <c r="I121"/>
      <c r="J121"/>
      <c r="K121"/>
      <c r="L121"/>
      <c r="M121"/>
      <c r="N121"/>
    </row>
    <row r="122" spans="2:14" ht="14.5">
      <c r="B122"/>
      <c r="C122"/>
      <c r="D122"/>
      <c r="E122"/>
      <c r="F122"/>
      <c r="G122"/>
      <c r="H122"/>
      <c r="I122"/>
      <c r="J122"/>
      <c r="K122"/>
      <c r="L122"/>
      <c r="M122"/>
      <c r="N122"/>
    </row>
    <row r="123" spans="2:14" ht="14.5">
      <c r="B123"/>
      <c r="C123"/>
      <c r="D123"/>
      <c r="E123"/>
      <c r="F123"/>
      <c r="G123"/>
      <c r="H123"/>
      <c r="I123"/>
      <c r="J123"/>
      <c r="K123"/>
      <c r="L123"/>
      <c r="M123"/>
      <c r="N123"/>
    </row>
    <row r="124" spans="2:14" ht="14.5">
      <c r="B124"/>
      <c r="C124"/>
      <c r="D124"/>
      <c r="E124"/>
      <c r="F124"/>
      <c r="G124"/>
      <c r="H124"/>
      <c r="I124"/>
      <c r="J124"/>
      <c r="K124"/>
      <c r="L124"/>
      <c r="M124"/>
      <c r="N124"/>
    </row>
    <row r="125" spans="2:14" ht="14.5">
      <c r="B125"/>
      <c r="C125"/>
      <c r="D125"/>
      <c r="E125"/>
      <c r="F125"/>
      <c r="G125"/>
      <c r="H125"/>
      <c r="I125"/>
      <c r="J125"/>
      <c r="K125"/>
      <c r="L125"/>
      <c r="M125"/>
      <c r="N125"/>
    </row>
    <row r="126" spans="2:14" ht="14.5">
      <c r="B126"/>
      <c r="C126"/>
      <c r="D126"/>
      <c r="E126"/>
      <c r="F126"/>
      <c r="G126"/>
      <c r="H126"/>
      <c r="I126"/>
      <c r="J126"/>
      <c r="K126"/>
      <c r="L126"/>
      <c r="M126"/>
      <c r="N126"/>
    </row>
    <row r="127" spans="2:14" ht="14.5">
      <c r="B127"/>
      <c r="C127"/>
      <c r="D127"/>
      <c r="E127"/>
      <c r="F127"/>
      <c r="G127"/>
      <c r="H127"/>
      <c r="I127"/>
      <c r="J127"/>
      <c r="K127"/>
      <c r="L127"/>
      <c r="M127"/>
      <c r="N127"/>
    </row>
    <row r="128" spans="2:14" ht="14.5">
      <c r="B128"/>
      <c r="C128"/>
      <c r="D128"/>
      <c r="E128"/>
      <c r="F128"/>
      <c r="G128"/>
      <c r="H128"/>
      <c r="I128"/>
      <c r="J128"/>
      <c r="K128"/>
      <c r="L128"/>
      <c r="M128"/>
      <c r="N128"/>
    </row>
    <row r="129" spans="2:14" ht="14.5">
      <c r="B129"/>
      <c r="C129"/>
      <c r="D129"/>
      <c r="E129"/>
      <c r="F129"/>
      <c r="G129"/>
      <c r="H129"/>
      <c r="I129"/>
      <c r="J129"/>
      <c r="K129"/>
      <c r="L129"/>
      <c r="M129"/>
      <c r="N129"/>
    </row>
    <row r="130" spans="2:14" ht="14.5">
      <c r="B130"/>
      <c r="C130"/>
      <c r="D130"/>
      <c r="E130"/>
      <c r="F130"/>
      <c r="G130"/>
      <c r="H130"/>
      <c r="I130"/>
      <c r="J130"/>
      <c r="K130"/>
      <c r="L130"/>
      <c r="M130"/>
      <c r="N130"/>
    </row>
    <row r="131" spans="2:14" ht="14.5">
      <c r="B131"/>
      <c r="C131"/>
      <c r="D131"/>
      <c r="E131"/>
      <c r="F131"/>
      <c r="G131"/>
      <c r="H131"/>
      <c r="I131"/>
      <c r="J131"/>
      <c r="K131"/>
      <c r="L131"/>
      <c r="M131"/>
      <c r="N131"/>
    </row>
    <row r="132" spans="2:14" ht="14.5">
      <c r="B132"/>
      <c r="C132"/>
      <c r="D132"/>
      <c r="E132"/>
      <c r="F132"/>
      <c r="G132"/>
      <c r="H132"/>
      <c r="I132"/>
      <c r="J132"/>
      <c r="K132"/>
      <c r="L132"/>
      <c r="M132"/>
      <c r="N132"/>
    </row>
    <row r="133" spans="2:14" ht="14.5">
      <c r="B133"/>
      <c r="C133"/>
      <c r="D133"/>
      <c r="E133"/>
      <c r="F133"/>
      <c r="G133"/>
      <c r="H133"/>
      <c r="I133"/>
      <c r="J133"/>
      <c r="K133"/>
      <c r="L133"/>
      <c r="M133"/>
      <c r="N133"/>
    </row>
    <row r="134" spans="2:14" ht="14.5">
      <c r="B134"/>
      <c r="C134"/>
      <c r="D134"/>
      <c r="E134"/>
      <c r="F134"/>
      <c r="G134"/>
      <c r="H134"/>
      <c r="I134"/>
      <c r="J134"/>
      <c r="K134"/>
      <c r="L134"/>
      <c r="M134"/>
      <c r="N134"/>
    </row>
    <row r="135" spans="2:14" ht="14.5">
      <c r="B135"/>
      <c r="C135"/>
      <c r="D135"/>
      <c r="E135"/>
      <c r="F135"/>
      <c r="G135"/>
      <c r="H135"/>
      <c r="I135"/>
      <c r="J135"/>
      <c r="K135"/>
      <c r="L135"/>
      <c r="M135"/>
      <c r="N135"/>
    </row>
    <row r="136" spans="2:14" ht="14.5">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2" sqref="A2"/>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48</v>
      </c>
      <c r="B1" s="1"/>
    </row>
    <row r="2" spans="1:2" ht="25.75" customHeight="1">
      <c r="A2" s="1" t="s">
        <v>45</v>
      </c>
    </row>
    <row r="3" spans="1:2" ht="25.75" customHeight="1">
      <c r="A3" s="1" t="s">
        <v>46</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2026-03-23T08:17:29Z</dcterms:modified>
</cp:coreProperties>
</file>