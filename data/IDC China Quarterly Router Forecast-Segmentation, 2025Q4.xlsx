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wang\Desktop\work\LAN Tracker\2025Q4\Delivery\Delivery Forecast\"/>
    </mc:Choice>
  </mc:AlternateContent>
  <xr:revisionPtr revIDLastSave="0" documentId="13_ncr:1_{F5172601-2CF4-464E-8B83-69A5009DE294}" xr6:coauthVersionLast="47" xr6:coauthVersionMax="47" xr10:uidLastSave="{00000000-0000-0000-0000-000000000000}"/>
  <bookViews>
    <workbookView xWindow="28680" yWindow="-120" windowWidth="38640" windowHeight="21120" activeTab="2"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<sst xmlns="http://schemas.openxmlformats.org/spreadsheetml/2006/main" count="53" uniqueCount="52">
  <si>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Year</t>
  </si>
  <si>
    <t>2022Q1</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</si>
  <si>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</si>
  <si>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</si>
  <si>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</si>
  <si>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</si>
  <si>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</si>
  <si>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</si>
  <si>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</si>
  <si>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</si>
  <si>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</si>
  <si>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</si>
  <si>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</si>
  <si>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</si>
  <si>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</si>
  <si>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</si>
  <si>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</si>
  <si>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</si>
  <si>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</si>
  <si>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</si>
  <si>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</si>
  <si>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</si>
  <si>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</si>
  <si>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</si>
  <si>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</si>
  <si>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Router</t>
  </si>
  <si>
    <t>Deployment</t>
  </si>
  <si>
    <t>Sum of Vendor Revenue (CNY M)</t>
  </si>
  <si>
    <t>Grand Total</t>
  </si>
  <si>
    <t>Enterprise</t>
  </si>
  <si>
    <t>Service Provider</t>
  </si>
  <si>
    <t>Publish Date</t>
  </si>
  <si>
    <t>行业大类</t>
  </si>
  <si>
    <t>公共事业</t>
  </si>
  <si>
    <t>金融</t>
  </si>
  <si>
    <t>政府</t>
  </si>
  <si>
    <t>交通</t>
  </si>
  <si>
    <t>教育</t>
  </si>
  <si>
    <t>制造</t>
  </si>
  <si>
    <t>服务</t>
  </si>
  <si>
    <t>互联网</t>
  </si>
  <si>
    <t>能源</t>
  </si>
  <si>
    <t>媒体</t>
  </si>
  <si>
    <t>流通</t>
  </si>
  <si>
    <t>医疗</t>
  </si>
  <si>
    <t>建筑</t>
  </si>
  <si>
    <t>通信</t>
  </si>
  <si>
    <t>2025Q3</t>
  </si>
  <si>
    <t>2025Q4</t>
  </si>
  <si>
    <t>Publication Date: March 24, 2026</t>
  </si>
  <si>
    <t>IDC China Quarterly Router Forecast-Segmentation, 2025Q4</t>
  </si>
  <si>
    <t>2025Q4 Final Forecast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</si>
</sst>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16">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24,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Router Forecast-Segmentation,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8477" y="95249"/>
          <a:ext cx="13699451"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Router Forecast-Segmentation,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24,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58</xdr:row>
      <xdr:rowOff>54429</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54045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7717" y="2216151"/>
          <a:ext cx="13720233"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630936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24,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8970" y="668237"/>
          <a:ext cx="9255631" cy="806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Router Forecast-Segmentation,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6104.514261342592" createdVersion="8" refreshedVersion="8" minRefreshableVersion="3" recordCount="114" xr:uid="{01112B15-E024-448A-B7AE-8340D1735768}">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3" maxValue="2030" count="8">
        <n v="2023"/>
        <n v="2024"/>
        <n v="2025"/>
        <n v="2026"/>
        <n v="2027"/>
        <n v="2028"/>
        <n v="2029"/>
        <n v="2030"/>
      </sharedItems>
    </cacheField>
    <cacheField name="Technology" numFmtId="0">
      <sharedItems count="1">
        <s v="Router"/>
      </sharedItems>
    </cacheField>
    <cacheField name="Deployment" numFmtId="0">
      <sharedItems count="2">
        <s v="Enterprise"/>
        <s v="Service Provider"/>
      </sharedItems>
    </cacheField>
    <cacheField name="Vertical Class" numFmtId="0">
      <sharedItems/>
    </cacheField>
    <cacheField name="行业大类" numFmtId="0">
      <sharedItems count="14">
        <s v="互联网"/>
        <s v="交通"/>
        <s v="公共事业"/>
        <s v="制造"/>
        <s v="医疗"/>
        <s v="媒体"/>
        <s v="建筑"/>
        <s v="政府"/>
        <s v="教育"/>
        <s v="服务"/>
        <s v="流通"/>
        <s v="能源"/>
        <s v="通信"/>
        <s v="金融"/>
      </sharedItems>
    </cacheField>
    <cacheField name="Vendor Revenue (CNY M)" numFmtId="0">
      <sharedItems containsSemiMixedTypes="0" containsString="0" containsNumber="1" minValue="13.601418390000001" maxValue="19652.823526240001"/>
    </cacheField>
    <cacheField name="Value (CNY M)" numFmtId="0">
      <sharedItems containsSemiMixedTypes="0" containsString="0" containsNumber="1" minValue="16.457716250000001" maxValue="19847.700063890003"/>
    </cacheField>
    <cacheField name="Vendor Revenue (USD M)" numFmtId="0">
      <sharedItems containsSemiMixedTypes="0" containsString="0" containsNumber="1" minValue="1.9206995599999999" maxValue="2779.2105170600003"/>
    </cacheField>
    <cacheField name="Value (USD M)" numFmtId="0">
      <sharedItems containsSemiMixedTypes="0" containsString="0" containsNumber="1" minValue="2.3240464900000002" maxValue="2806.8141508799995"/>
    </cacheField>
    <cacheField name="Publish Date" numFmtId="0">
      <sharedItems count="3">
        <s v="2025Q4"/>
        <s v="2025Q3" u="1"/>
        <s v="2025Q2"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x v="0"/>
    <x v="0"/>
    <x v="0"/>
    <s v="Internet"/>
    <x v="0"/>
    <n v="233.17568713"/>
    <n v="282.14258143000001"/>
    <n v="33.005448770000001"/>
    <n v="39.936592999999988"/>
    <x v="0"/>
  </r>
  <r>
    <x v="0"/>
    <x v="1"/>
    <x v="0"/>
    <x v="0"/>
    <s v="Internet"/>
    <x v="0"/>
    <n v="190.27099867999999"/>
    <n v="230.22790839000004"/>
    <n v="26.468695959999998"/>
    <n v="32.027122130000002"/>
    <x v="0"/>
  </r>
  <r>
    <x v="0"/>
    <x v="0"/>
    <x v="0"/>
    <x v="0"/>
    <s v="Transportation"/>
    <x v="1"/>
    <n v="302.04931078999999"/>
    <n v="365.47966604999993"/>
    <n v="42.51183480000001"/>
    <n v="51.439320039999998"/>
    <x v="0"/>
  </r>
  <r>
    <x v="0"/>
    <x v="1"/>
    <x v="0"/>
    <x v="0"/>
    <s v="Transportation"/>
    <x v="1"/>
    <n v="357.42813422"/>
    <n v="432.4880423899998"/>
    <n v="49.656741300000022"/>
    <n v="60.084657040000018"/>
    <x v="0"/>
  </r>
  <r>
    <x v="0"/>
    <x v="0"/>
    <x v="0"/>
    <x v="0"/>
    <s v="Utilities"/>
    <x v="2"/>
    <n v="1080.5714053600004"/>
    <n v="1307.4914005199998"/>
    <n v="151.74637302000005"/>
    <n v="183.61311136"/>
    <x v="0"/>
  </r>
  <r>
    <x v="0"/>
    <x v="1"/>
    <x v="0"/>
    <x v="0"/>
    <s v="Utilities"/>
    <x v="2"/>
    <n v="1199.33569786"/>
    <n v="1451.19619448"/>
    <n v="166.77885859"/>
    <n v="201.80241888"/>
    <x v="0"/>
  </r>
  <r>
    <x v="0"/>
    <x v="0"/>
    <x v="0"/>
    <x v="0"/>
    <s v="Manufacturing"/>
    <x v="3"/>
    <n v="283.81268105999993"/>
    <n v="343.41334412999993"/>
    <n v="39.932530029999981"/>
    <n v="48.318361280000005"/>
    <x v="0"/>
  </r>
  <r>
    <x v="0"/>
    <x v="1"/>
    <x v="0"/>
    <x v="0"/>
    <s v="Manufacturing"/>
    <x v="3"/>
    <n v="252.47833503999999"/>
    <n v="305.49878538999997"/>
    <n v="35.130138370000004"/>
    <n v="42.507467460000001"/>
    <x v="0"/>
  </r>
  <r>
    <x v="0"/>
    <x v="0"/>
    <x v="0"/>
    <x v="0"/>
    <s v="Health"/>
    <x v="4"/>
    <n v="62.056501449999992"/>
    <n v="75.08836672999999"/>
    <n v="8.7795150199999981"/>
    <n v="10.623213099999997"/>
    <x v="0"/>
  </r>
  <r>
    <x v="0"/>
    <x v="1"/>
    <x v="0"/>
    <x v="0"/>
    <s v="Health"/>
    <x v="4"/>
    <n v="61.834109559999987"/>
    <n v="74.819272589999983"/>
    <n v="8.5997847000000007"/>
    <n v="10.405739499999997"/>
    <x v="0"/>
  </r>
  <r>
    <x v="0"/>
    <x v="0"/>
    <x v="0"/>
    <x v="0"/>
    <s v="Media"/>
    <x v="5"/>
    <n v="159.15649052000003"/>
    <n v="192.57935355000001"/>
    <n v="22.470818110000007"/>
    <n v="27.189689939999997"/>
    <x v="0"/>
  </r>
  <r>
    <x v="0"/>
    <x v="1"/>
    <x v="0"/>
    <x v="0"/>
    <s v="Media"/>
    <x v="5"/>
    <n v="119.30274497000001"/>
    <n v="144.35632141000002"/>
    <n v="16.592147540000003"/>
    <n v="20.076498529999995"/>
    <x v="0"/>
  </r>
  <r>
    <x v="0"/>
    <x v="0"/>
    <x v="0"/>
    <x v="0"/>
    <s v="Construction"/>
    <x v="6"/>
    <n v="13.601418390000001"/>
    <n v="16.457716250000001"/>
    <n v="1.9206995599999999"/>
    <n v="2.3240464900000002"/>
    <x v="0"/>
  </r>
  <r>
    <x v="0"/>
    <x v="1"/>
    <x v="0"/>
    <x v="0"/>
    <s v="Construction"/>
    <x v="6"/>
    <n v="16.879783719999999"/>
    <n v="20.42453832"/>
    <n v="2.3455787799999999"/>
    <n v="2.83815032"/>
    <x v="0"/>
  </r>
  <r>
    <x v="0"/>
    <x v="0"/>
    <x v="0"/>
    <x v="0"/>
    <s v="Government"/>
    <x v="7"/>
    <n v="976.94512176000023"/>
    <n v="1182.1035972700001"/>
    <n v="137.95580300000006"/>
    <n v="166.92652168000004"/>
    <x v="0"/>
  </r>
  <r>
    <x v="0"/>
    <x v="1"/>
    <x v="0"/>
    <x v="0"/>
    <s v="Government"/>
    <x v="7"/>
    <n v="919.00808553000002"/>
    <n v="1111.9997834200008"/>
    <n v="127.73833851999999"/>
    <n v="154.56338950999992"/>
    <x v="0"/>
  </r>
  <r>
    <x v="0"/>
    <x v="0"/>
    <x v="0"/>
    <x v="0"/>
    <s v="Education"/>
    <x v="8"/>
    <n v="294.28173990999983"/>
    <n v="356.08090531999983"/>
    <n v="41.694677719999987"/>
    <n v="50.450560119999984"/>
    <x v="0"/>
  </r>
  <r>
    <x v="0"/>
    <x v="1"/>
    <x v="0"/>
    <x v="0"/>
    <s v="Education"/>
    <x v="8"/>
    <n v="269.6251219200002"/>
    <n v="326.24639759000007"/>
    <n v="37.450883850000004"/>
    <n v="45.315569530000005"/>
    <x v="0"/>
  </r>
  <r>
    <x v="0"/>
    <x v="0"/>
    <x v="0"/>
    <x v="0"/>
    <s v="Services"/>
    <x v="9"/>
    <n v="192.30558524000014"/>
    <n v="232.68975817000006"/>
    <n v="27.196200480000009"/>
    <n v="32.907402570000002"/>
    <x v="0"/>
  </r>
  <r>
    <x v="0"/>
    <x v="1"/>
    <x v="0"/>
    <x v="0"/>
    <s v="Services"/>
    <x v="9"/>
    <n v="189.81175677000004"/>
    <n v="229.67222570000004"/>
    <n v="26.399164919999993"/>
    <n v="31.942989539999996"/>
    <x v="0"/>
  </r>
  <r>
    <x v="0"/>
    <x v="0"/>
    <x v="0"/>
    <x v="0"/>
    <s v="Distribution"/>
    <x v="10"/>
    <n v="82.463793749999979"/>
    <n v="99.781190459999976"/>
    <n v="11.639794189999998"/>
    <n v="14.084151020000002"/>
    <x v="0"/>
  </r>
  <r>
    <x v="0"/>
    <x v="1"/>
    <x v="0"/>
    <x v="0"/>
    <s v="Distribution"/>
    <x v="10"/>
    <n v="67.876809860000009"/>
    <n v="82.130939950000013"/>
    <n v="9.447168330000002"/>
    <n v="11.431073640000001"/>
    <x v="0"/>
  </r>
  <r>
    <x v="0"/>
    <x v="0"/>
    <x v="0"/>
    <x v="0"/>
    <s v="Resource Industries"/>
    <x v="11"/>
    <n v="208.59940323999999"/>
    <n v="252.40527796000003"/>
    <n v="29.505810920000005"/>
    <n v="35.702031220000002"/>
    <x v="0"/>
  </r>
  <r>
    <x v="0"/>
    <x v="1"/>
    <x v="0"/>
    <x v="0"/>
    <s v="Resource Industries"/>
    <x v="11"/>
    <n v="175.89402822000002"/>
    <n v="212.83177416000004"/>
    <n v="24.453274209999993"/>
    <n v="29.588461880000001"/>
    <x v="0"/>
  </r>
  <r>
    <x v="0"/>
    <x v="0"/>
    <x v="0"/>
    <x v="1"/>
    <s v="Telecom"/>
    <x v="12"/>
    <n v="45.353642699999995"/>
    <n v="54.87790764999999"/>
    <n v="6.3887890499999997"/>
    <n v="7.7304347499999997"/>
    <x v="0"/>
  </r>
  <r>
    <x v="0"/>
    <x v="0"/>
    <x v="0"/>
    <x v="1"/>
    <s v="Telecom"/>
    <x v="12"/>
    <n v="19652.823526240001"/>
    <n v="19847.700063890003"/>
    <n v="2779.2105170600003"/>
    <n v="2806.8141508799995"/>
    <x v="0"/>
  </r>
  <r>
    <x v="0"/>
    <x v="1"/>
    <x v="0"/>
    <x v="1"/>
    <s v="Telecom"/>
    <x v="12"/>
    <n v="34.937379120000003"/>
    <n v="42.274228739999991"/>
    <n v="4.8526871699999985"/>
    <n v="5.8717514799999986"/>
    <x v="0"/>
  </r>
  <r>
    <x v="0"/>
    <x v="1"/>
    <x v="0"/>
    <x v="1"/>
    <s v="Telecom"/>
    <x v="12"/>
    <n v="15526.927051979999"/>
    <n v="15714.105198459998"/>
    <n v="2159.6153035500006"/>
    <n v="2185.6444262099999"/>
    <x v="0"/>
  </r>
  <r>
    <x v="0"/>
    <x v="0"/>
    <x v="0"/>
    <x v="0"/>
    <s v="Finance"/>
    <x v="13"/>
    <n v="1141.5111547499998"/>
    <n v="1381.2284972299994"/>
    <n v="160.79748301000006"/>
    <n v="194.56495434999999"/>
    <x v="0"/>
  </r>
  <r>
    <x v="0"/>
    <x v="1"/>
    <x v="0"/>
    <x v="0"/>
    <s v="Finance"/>
    <x v="13"/>
    <n v="1003.1677778299999"/>
    <n v="1213.8330112000003"/>
    <n v="139.50521191000007"/>
    <n v="168.80130637000002"/>
    <x v="0"/>
  </r>
  <r>
    <x v="0"/>
    <x v="2"/>
    <x v="0"/>
    <x v="0"/>
    <s v="Internet"/>
    <x v="0"/>
    <n v="284.89784085999997"/>
    <n v="344.72638744"/>
    <n v="39.665059300000003"/>
    <n v="47.994721749999997"/>
    <x v="0"/>
  </r>
  <r>
    <x v="0"/>
    <x v="3"/>
    <x v="0"/>
    <x v="0"/>
    <s v="Internet"/>
    <x v="0"/>
    <n v="298.48092579000001"/>
    <n v="361.16192021000001"/>
    <n v="42.093636590000003"/>
    <n v="50.933300269999997"/>
    <x v="0"/>
  </r>
  <r>
    <x v="0"/>
    <x v="4"/>
    <x v="0"/>
    <x v="0"/>
    <s v="Internet"/>
    <x v="0"/>
    <n v="308.07931994"/>
    <n v="372.77597713"/>
    <n v="43.447261830000002"/>
    <n v="52.57118681"/>
    <x v="0"/>
  </r>
  <r>
    <x v="0"/>
    <x v="5"/>
    <x v="0"/>
    <x v="0"/>
    <s v="Internet"/>
    <x v="0"/>
    <n v="332.58874656"/>
    <n v="402.43238332999999"/>
    <n v="46.903733610000003"/>
    <n v="56.75351766"/>
    <x v="0"/>
  </r>
  <r>
    <x v="0"/>
    <x v="6"/>
    <x v="0"/>
    <x v="0"/>
    <s v="Internet"/>
    <x v="0"/>
    <n v="350.02821475000002"/>
    <n v="423.53413984999997"/>
    <n v="49.363155880000001"/>
    <n v="59.729418610000003"/>
    <x v="0"/>
  </r>
  <r>
    <x v="0"/>
    <x v="7"/>
    <x v="0"/>
    <x v="0"/>
    <s v="Internet"/>
    <x v="0"/>
    <n v="361.80439698999999"/>
    <n v="437.78332036"/>
    <n v="51.023906340000003"/>
    <n v="61.738926669999998"/>
    <x v="0"/>
  </r>
  <r>
    <x v="0"/>
    <x v="2"/>
    <x v="0"/>
    <x v="0"/>
    <s v="Transportation"/>
    <x v="1"/>
    <n v="399.97046125000003"/>
    <n v="483.96425812000001"/>
    <n v="55.768284389999998"/>
    <n v="67.479624119999997"/>
    <x v="0"/>
  </r>
  <r>
    <x v="0"/>
    <x v="3"/>
    <x v="0"/>
    <x v="0"/>
    <s v="Transportation"/>
    <x v="1"/>
    <n v="441.91279899"/>
    <n v="534.71448678000002"/>
    <n v="62.321291430000002"/>
    <n v="75.408762629999998"/>
    <x v="0"/>
  </r>
  <r>
    <x v="0"/>
    <x v="4"/>
    <x v="0"/>
    <x v="0"/>
    <s v="Transportation"/>
    <x v="1"/>
    <n v="474.23713497"/>
    <n v="573.82693330999996"/>
    <n v="66.879870339999997"/>
    <n v="80.924643110000005"/>
    <x v="0"/>
  </r>
  <r>
    <x v="0"/>
    <x v="5"/>
    <x v="0"/>
    <x v="0"/>
    <s v="Transportation"/>
    <x v="1"/>
    <n v="464.50476499000001"/>
    <n v="562.05076564000001"/>
    <n v="65.507350990000006"/>
    <n v="79.263894699999994"/>
    <x v="0"/>
  </r>
  <r>
    <x v="0"/>
    <x v="6"/>
    <x v="0"/>
    <x v="0"/>
    <s v="Transportation"/>
    <x v="1"/>
    <n v="441.36050503000001"/>
    <n v="534.04621109000004"/>
    <n v="62.243403499999999"/>
    <n v="75.314518239999998"/>
    <x v="0"/>
  </r>
  <r>
    <x v="0"/>
    <x v="7"/>
    <x v="0"/>
    <x v="0"/>
    <s v="Transportation"/>
    <x v="1"/>
    <n v="477.97619971"/>
    <n v="578.35120165000001"/>
    <n v="67.407176500000006"/>
    <n v="81.562683570000004"/>
    <x v="0"/>
  </r>
  <r>
    <x v="0"/>
    <x v="2"/>
    <x v="0"/>
    <x v="0"/>
    <s v="Utilities"/>
    <x v="2"/>
    <n v="1160.5953015600001"/>
    <n v="1404.3203148800001"/>
    <n v="161.58096470000001"/>
    <n v="195.51296729000001"/>
    <x v="0"/>
  </r>
  <r>
    <x v="0"/>
    <x v="3"/>
    <x v="0"/>
    <x v="0"/>
    <s v="Utilities"/>
    <x v="2"/>
    <n v="1256.3615434999999"/>
    <n v="1520.1974676299999"/>
    <n v="177.17991892000001"/>
    <n v="214.3877019"/>
    <x v="0"/>
  </r>
  <r>
    <x v="0"/>
    <x v="4"/>
    <x v="0"/>
    <x v="0"/>
    <s v="Utilities"/>
    <x v="2"/>
    <n v="1398.5176271"/>
    <n v="1692.20632879"/>
    <n v="197.22765398999999"/>
    <n v="238.64546132000001"/>
    <x v="0"/>
  </r>
  <r>
    <x v="0"/>
    <x v="5"/>
    <x v="0"/>
    <x v="0"/>
    <s v="Utilities"/>
    <x v="2"/>
    <n v="1534.55040908"/>
    <n v="1856.80599499"/>
    <n v="216.41184297000001"/>
    <n v="261.85832999000002"/>
    <x v="0"/>
  </r>
  <r>
    <x v="0"/>
    <x v="6"/>
    <x v="0"/>
    <x v="0"/>
    <s v="Utilities"/>
    <x v="2"/>
    <n v="1660.3776334199999"/>
    <n v="2009.05693643"/>
    <n v="234.15678073999999"/>
    <n v="283.32970469999998"/>
    <x v="0"/>
  </r>
  <r>
    <x v="0"/>
    <x v="7"/>
    <x v="0"/>
    <x v="0"/>
    <s v="Utilities"/>
    <x v="2"/>
    <n v="1786.3347289999999"/>
    <n v="2161.4650220899998"/>
    <n v="251.92003376"/>
    <n v="304.82324084999999"/>
    <x v="0"/>
  </r>
  <r>
    <x v="0"/>
    <x v="2"/>
    <x v="0"/>
    <x v="0"/>
    <s v="Manufacturing"/>
    <x v="3"/>
    <n v="272.56715985"/>
    <n v="329.80626341999999"/>
    <n v="37.914233279999998"/>
    <n v="45.87622227"/>
    <x v="0"/>
  </r>
  <r>
    <x v="0"/>
    <x v="3"/>
    <x v="0"/>
    <x v="0"/>
    <s v="Manufacturing"/>
    <x v="3"/>
    <n v="268.78216500000002"/>
    <n v="325.22641965000003"/>
    <n v="37.905332620000003"/>
    <n v="45.865452480000002"/>
    <x v="0"/>
  </r>
  <r>
    <x v="0"/>
    <x v="4"/>
    <x v="0"/>
    <x v="0"/>
    <s v="Manufacturing"/>
    <x v="3"/>
    <n v="276.30072856999999"/>
    <n v="334.32388157000003"/>
    <n v="38.965647220000001"/>
    <n v="47.148433140000002"/>
    <x v="0"/>
  </r>
  <r>
    <x v="0"/>
    <x v="5"/>
    <x v="0"/>
    <x v="0"/>
    <s v="Manufacturing"/>
    <x v="3"/>
    <n v="288.76386772000001"/>
    <n v="349.40427993999998"/>
    <n v="40.72327662"/>
    <n v="49.275164709999999"/>
    <x v="0"/>
  </r>
  <r>
    <x v="0"/>
    <x v="6"/>
    <x v="0"/>
    <x v="0"/>
    <s v="Manufacturing"/>
    <x v="3"/>
    <n v="292.78363271000001"/>
    <n v="354.26819556999999"/>
    <n v="41.290168880000003"/>
    <n v="49.961104339999999"/>
    <x v="0"/>
  </r>
  <r>
    <x v="0"/>
    <x v="7"/>
    <x v="0"/>
    <x v="0"/>
    <s v="Manufacturing"/>
    <x v="3"/>
    <n v="301.06151359"/>
    <n v="364.28443143999999"/>
    <n v="42.457567130000001"/>
    <n v="51.373656220000001"/>
    <x v="0"/>
  </r>
  <r>
    <x v="0"/>
    <x v="2"/>
    <x v="0"/>
    <x v="0"/>
    <s v="Health"/>
    <x v="4"/>
    <n v="68.728219429999996"/>
    <n v="83.161145500000003"/>
    <n v="9.5692345799999998"/>
    <n v="11.578773849999999"/>
    <x v="0"/>
  </r>
  <r>
    <x v="0"/>
    <x v="3"/>
    <x v="0"/>
    <x v="0"/>
    <s v="Health"/>
    <x v="4"/>
    <n v="66.943195059999994"/>
    <n v="81.001266020000003"/>
    <n v="9.4407457299999997"/>
    <n v="11.42330233"/>
    <x v="0"/>
  </r>
  <r>
    <x v="0"/>
    <x v="4"/>
    <x v="0"/>
    <x v="0"/>
    <s v="Health"/>
    <x v="4"/>
    <n v="71.697292480000002"/>
    <n v="86.753723899999997"/>
    <n v="10.11119811"/>
    <n v="12.23454972"/>
    <x v="0"/>
  </r>
  <r>
    <x v="0"/>
    <x v="5"/>
    <x v="0"/>
    <x v="0"/>
    <s v="Health"/>
    <x v="4"/>
    <n v="73.975893810000002"/>
    <n v="89.510831510000003"/>
    <n v="10.43254065"/>
    <n v="12.623374180000001"/>
    <x v="0"/>
  </r>
  <r>
    <x v="0"/>
    <x v="6"/>
    <x v="0"/>
    <x v="0"/>
    <s v="Health"/>
    <x v="4"/>
    <n v="76.010217859999997"/>
    <n v="91.972363610000002"/>
    <n v="10.719433670000001"/>
    <n v="12.97051475"/>
    <x v="0"/>
  </r>
  <r>
    <x v="0"/>
    <x v="7"/>
    <x v="0"/>
    <x v="0"/>
    <s v="Health"/>
    <x v="4"/>
    <n v="77.868283840000004"/>
    <n v="94.220623450000005"/>
    <n v="10.9814697"/>
    <n v="13.287578330000001"/>
    <x v="0"/>
  </r>
  <r>
    <x v="0"/>
    <x v="2"/>
    <x v="0"/>
    <x v="0"/>
    <s v="Media"/>
    <x v="5"/>
    <n v="90.316992940000006"/>
    <n v="109.28356146"/>
    <n v="12.558968289999999"/>
    <n v="15.196351630000001"/>
    <x v="0"/>
  </r>
  <r>
    <x v="0"/>
    <x v="3"/>
    <x v="0"/>
    <x v="0"/>
    <s v="Media"/>
    <x v="5"/>
    <n v="87.445060400000003"/>
    <n v="105.80852308999999"/>
    <n v="12.332046289999999"/>
    <n v="14.92177601"/>
    <x v="0"/>
  </r>
  <r>
    <x v="0"/>
    <x v="4"/>
    <x v="0"/>
    <x v="0"/>
    <s v="Media"/>
    <x v="5"/>
    <n v="92.396619250000001"/>
    <n v="111.79990929"/>
    <n v="13.03034592"/>
    <n v="15.766718559999999"/>
    <x v="0"/>
  </r>
  <r>
    <x v="0"/>
    <x v="5"/>
    <x v="0"/>
    <x v="0"/>
    <s v="Media"/>
    <x v="5"/>
    <n v="90.016803690000003"/>
    <n v="108.92033247000001"/>
    <n v="12.694729519999999"/>
    <n v="15.36062272"/>
    <x v="0"/>
  </r>
  <r>
    <x v="0"/>
    <x v="6"/>
    <x v="0"/>
    <x v="0"/>
    <s v="Media"/>
    <x v="5"/>
    <n v="92.970160500000006"/>
    <n v="112.49389420999999"/>
    <n v="13.11123027"/>
    <n v="15.86458863"/>
    <x v="0"/>
  </r>
  <r>
    <x v="0"/>
    <x v="7"/>
    <x v="0"/>
    <x v="0"/>
    <s v="Media"/>
    <x v="5"/>
    <n v="97.973428889999994"/>
    <n v="118.54784896"/>
    <n v="13.8168223"/>
    <n v="16.718354980000001"/>
    <x v="0"/>
  </r>
  <r>
    <x v="0"/>
    <x v="2"/>
    <x v="0"/>
    <x v="0"/>
    <s v="Construction"/>
    <x v="6"/>
    <n v="18.15848922"/>
    <n v="21.971771960000002"/>
    <n v="2.5189554900000002"/>
    <n v="3.04793614"/>
    <x v="0"/>
  </r>
  <r>
    <x v="0"/>
    <x v="3"/>
    <x v="0"/>
    <x v="0"/>
    <s v="Construction"/>
    <x v="6"/>
    <n v="17.432408420000002"/>
    <n v="21.093214190000001"/>
    <n v="2.4584266600000002"/>
    <n v="2.97469626"/>
    <x v="0"/>
  </r>
  <r>
    <x v="0"/>
    <x v="4"/>
    <x v="0"/>
    <x v="0"/>
    <s v="Construction"/>
    <x v="6"/>
    <n v="16.822965119999999"/>
    <n v="20.355787790000001"/>
    <n v="2.3724791700000001"/>
    <n v="2.8706998000000001"/>
    <x v="0"/>
  </r>
  <r>
    <x v="0"/>
    <x v="5"/>
    <x v="0"/>
    <x v="0"/>
    <s v="Construction"/>
    <x v="6"/>
    <n v="18.241624829999999"/>
    <n v="22.072366049999999"/>
    <n v="2.57254739"/>
    <n v="3.1127823399999999"/>
    <x v="0"/>
  </r>
  <r>
    <x v="0"/>
    <x v="6"/>
    <x v="0"/>
    <x v="0"/>
    <s v="Construction"/>
    <x v="6"/>
    <n v="15.96933175"/>
    <n v="19.322891420000001"/>
    <n v="2.2520944900000002"/>
    <n v="2.7250343300000002"/>
    <x v="0"/>
  </r>
  <r>
    <x v="0"/>
    <x v="7"/>
    <x v="0"/>
    <x v="0"/>
    <s v="Construction"/>
    <x v="6"/>
    <n v="14.890750540000001"/>
    <n v="18.01780815"/>
    <n v="2.0999862600000001"/>
    <n v="2.5409833700000002"/>
    <x v="0"/>
  </r>
  <r>
    <x v="0"/>
    <x v="2"/>
    <x v="0"/>
    <x v="0"/>
    <s v="Government"/>
    <x v="7"/>
    <n v="693.81578325999999"/>
    <n v="839.51709774000005"/>
    <n v="96.688904660000006"/>
    <n v="116.99357464000001"/>
    <x v="0"/>
  </r>
  <r>
    <x v="0"/>
    <x v="3"/>
    <x v="0"/>
    <x v="0"/>
    <s v="Government"/>
    <x v="7"/>
    <n v="714.63444512000001"/>
    <n v="864.70767860000001"/>
    <n v="100.78219419"/>
    <n v="121.94645497"/>
    <x v="0"/>
  </r>
  <r>
    <x v="0"/>
    <x v="4"/>
    <x v="0"/>
    <x v="0"/>
    <s v="Government"/>
    <x v="7"/>
    <n v="756.55158442000004"/>
    <n v="915.42741715"/>
    <n v="106.69360988"/>
    <n v="129.09926795000001"/>
    <x v="0"/>
  </r>
  <r>
    <x v="0"/>
    <x v="5"/>
    <x v="0"/>
    <x v="0"/>
    <s v="Government"/>
    <x v="7"/>
    <n v="773.24057478999998"/>
    <n v="935.62109549000002"/>
    <n v="109.0471951"/>
    <n v="131.94710606999999"/>
    <x v="0"/>
  </r>
  <r>
    <x v="0"/>
    <x v="6"/>
    <x v="0"/>
    <x v="0"/>
    <s v="Government"/>
    <x v="7"/>
    <n v="790.93953829999998"/>
    <n v="957.03684134000002"/>
    <n v="111.54321301"/>
    <n v="134.96728775"/>
    <x v="0"/>
  </r>
  <r>
    <x v="0"/>
    <x v="7"/>
    <x v="0"/>
    <x v="0"/>
    <s v="Government"/>
    <x v="7"/>
    <n v="835.01104111999996"/>
    <n v="1010.36335975"/>
    <n v="117.75845045"/>
    <n v="142.48772503999999"/>
    <x v="0"/>
  </r>
  <r>
    <x v="0"/>
    <x v="2"/>
    <x v="0"/>
    <x v="0"/>
    <s v="Education"/>
    <x v="8"/>
    <n v="260.08490367000002"/>
    <n v="314.70273343999997"/>
    <n v="36.165383540000001"/>
    <n v="43.760114080000001"/>
    <x v="0"/>
  </r>
  <r>
    <x v="0"/>
    <x v="3"/>
    <x v="0"/>
    <x v="0"/>
    <s v="Education"/>
    <x v="8"/>
    <n v="268.88555658000001"/>
    <n v="325.35152346000001"/>
    <n v="37.919913549999997"/>
    <n v="45.883095390000001"/>
    <x v="0"/>
  </r>
  <r>
    <x v="0"/>
    <x v="4"/>
    <x v="0"/>
    <x v="0"/>
    <s v="Education"/>
    <x v="8"/>
    <n v="278.89255816999997"/>
    <n v="337.45999539000002"/>
    <n v="39.331163150000002"/>
    <n v="47.59070741"/>
    <x v="0"/>
  </r>
  <r>
    <x v="0"/>
    <x v="5"/>
    <x v="0"/>
    <x v="0"/>
    <s v="Education"/>
    <x v="8"/>
    <n v="294.58605218000002"/>
    <n v="356.44912313999998"/>
    <n v="41.54435728"/>
    <n v="50.268672309999999"/>
    <x v="0"/>
  </r>
  <r>
    <x v="0"/>
    <x v="6"/>
    <x v="0"/>
    <x v="0"/>
    <s v="Education"/>
    <x v="8"/>
    <n v="318.12235141999997"/>
    <n v="384.92804520999999"/>
    <n v="44.863592590000003"/>
    <n v="54.284947029999998"/>
    <x v="0"/>
  </r>
  <r>
    <x v="0"/>
    <x v="7"/>
    <x v="0"/>
    <x v="0"/>
    <s v="Education"/>
    <x v="8"/>
    <n v="330.36870799000002"/>
    <n v="399.74613667"/>
    <n v="46.59064996"/>
    <n v="56.374686449999999"/>
    <x v="0"/>
  </r>
  <r>
    <x v="0"/>
    <x v="2"/>
    <x v="0"/>
    <x v="0"/>
    <s v="Services"/>
    <x v="9"/>
    <n v="189.75514533"/>
    <n v="229.60372584999999"/>
    <n v="26.401444680000001"/>
    <n v="31.94574807"/>
    <x v="0"/>
  </r>
  <r>
    <x v="0"/>
    <x v="3"/>
    <x v="0"/>
    <x v="0"/>
    <s v="Services"/>
    <x v="9"/>
    <n v="184.80106477000001"/>
    <n v="223.60928837"/>
    <n v="26.061795539999999"/>
    <n v="31.534772610000001"/>
    <x v="0"/>
  </r>
  <r>
    <x v="0"/>
    <x v="4"/>
    <x v="0"/>
    <x v="0"/>
    <s v="Services"/>
    <x v="9"/>
    <n v="190.66688653"/>
    <n v="230.70693270000001"/>
    <n v="26.889030210000001"/>
    <n v="32.53572655"/>
    <x v="0"/>
  </r>
  <r>
    <x v="0"/>
    <x v="5"/>
    <x v="0"/>
    <x v="0"/>
    <s v="Services"/>
    <x v="9"/>
    <n v="197.49364191999999"/>
    <n v="238.96730672000001"/>
    <n v="27.851781710000001"/>
    <n v="33.700655869999999"/>
    <x v="0"/>
  </r>
  <r>
    <x v="0"/>
    <x v="6"/>
    <x v="0"/>
    <x v="0"/>
    <s v="Services"/>
    <x v="9"/>
    <n v="204.60097685"/>
    <n v="247.56718198999999"/>
    <n v="28.85410229"/>
    <n v="34.91346377"/>
    <x v="0"/>
  </r>
  <r>
    <x v="0"/>
    <x v="7"/>
    <x v="0"/>
    <x v="0"/>
    <s v="Services"/>
    <x v="9"/>
    <n v="210.68070976000001"/>
    <n v="254.92365881000001"/>
    <n v="29.711504040000001"/>
    <n v="35.950919890000002"/>
    <x v="0"/>
  </r>
  <r>
    <x v="0"/>
    <x v="2"/>
    <x v="0"/>
    <x v="0"/>
    <s v="Distribution"/>
    <x v="10"/>
    <n v="53.90440452"/>
    <n v="65.224329470000001"/>
    <n v="7.5059813799999997"/>
    <n v="9.0822374700000008"/>
    <x v="0"/>
  </r>
  <r>
    <x v="0"/>
    <x v="3"/>
    <x v="0"/>
    <x v="0"/>
    <s v="Distribution"/>
    <x v="10"/>
    <n v="46.742255249999999"/>
    <n v="56.558128850000003"/>
    <n v="6.5918835500000004"/>
    <n v="7.9761791000000004"/>
    <x v="0"/>
  </r>
  <r>
    <x v="0"/>
    <x v="4"/>
    <x v="0"/>
    <x v="0"/>
    <s v="Distribution"/>
    <x v="10"/>
    <n v="49.217021369999998"/>
    <n v="59.552595859999997"/>
    <n v="6.9408904600000003"/>
    <n v="8.3984774600000005"/>
    <x v="0"/>
  </r>
  <r>
    <x v="0"/>
    <x v="5"/>
    <x v="0"/>
    <x v="0"/>
    <s v="Distribution"/>
    <x v="10"/>
    <n v="47.365293170000001"/>
    <n v="57.312004739999999"/>
    <n v="6.6797482400000003"/>
    <n v="8.0824953700000002"/>
    <x v="0"/>
  </r>
  <r>
    <x v="0"/>
    <x v="6"/>
    <x v="0"/>
    <x v="0"/>
    <s v="Distribution"/>
    <x v="10"/>
    <n v="44.196590219999997"/>
    <n v="53.47787417"/>
    <n v="6.2328780400000001"/>
    <n v="7.5417824299999996"/>
    <x v="0"/>
  </r>
  <r>
    <x v="0"/>
    <x v="7"/>
    <x v="0"/>
    <x v="0"/>
    <s v="Distribution"/>
    <x v="10"/>
    <n v="45.555133509999997"/>
    <n v="55.121711550000001"/>
    <n v="6.4244682600000003"/>
    <n v="7.7736065999999999"/>
    <x v="0"/>
  </r>
  <r>
    <x v="0"/>
    <x v="2"/>
    <x v="0"/>
    <x v="0"/>
    <s v="Resource Industries"/>
    <x v="11"/>
    <n v="145.90190375"/>
    <n v="176.54130352999999"/>
    <n v="20.263952840000002"/>
    <n v="24.519382929999999"/>
    <x v="0"/>
  </r>
  <r>
    <x v="0"/>
    <x v="3"/>
    <x v="0"/>
    <x v="0"/>
    <s v="Resource Industries"/>
    <x v="11"/>
    <n v="152.75861140000001"/>
    <n v="184.83791979"/>
    <n v="21.54296948"/>
    <n v="26.066993069999999"/>
    <x v="0"/>
  </r>
  <r>
    <x v="0"/>
    <x v="4"/>
    <x v="0"/>
    <x v="0"/>
    <s v="Resource Industries"/>
    <x v="11"/>
    <n v="141.39613542999999"/>
    <n v="171.08932386999999"/>
    <n v="19.940562440000001"/>
    <n v="24.128080560000001"/>
    <x v="0"/>
  </r>
  <r>
    <x v="0"/>
    <x v="5"/>
    <x v="0"/>
    <x v="0"/>
    <s v="Resource Industries"/>
    <x v="11"/>
    <n v="149.73032703000001"/>
    <n v="181.17369571"/>
    <n v="21.11590198"/>
    <n v="25.550241400000001"/>
    <x v="0"/>
  </r>
  <r>
    <x v="0"/>
    <x v="6"/>
    <x v="0"/>
    <x v="0"/>
    <s v="Resource Industries"/>
    <x v="11"/>
    <n v="142.64724942000001"/>
    <n v="172.60317180000001"/>
    <n v="20.117002320000001"/>
    <n v="24.341572809999999"/>
    <x v="0"/>
  </r>
  <r>
    <x v="0"/>
    <x v="7"/>
    <x v="0"/>
    <x v="0"/>
    <s v="Resource Industries"/>
    <x v="11"/>
    <n v="131.11708947"/>
    <n v="158.65167826000001"/>
    <n v="18.49094745"/>
    <n v="22.374046419999999"/>
    <x v="0"/>
  </r>
  <r>
    <x v="0"/>
    <x v="2"/>
    <x v="0"/>
    <x v="1"/>
    <s v="Telecom"/>
    <x v="12"/>
    <n v="15603.76716442"/>
    <n v="15758.75459676"/>
    <n v="2171.3567157900002"/>
    <n v="2192.87895566"/>
    <x v="0"/>
  </r>
  <r>
    <x v="0"/>
    <x v="3"/>
    <x v="0"/>
    <x v="1"/>
    <s v="Telecom"/>
    <x v="12"/>
    <n v="15002.245918750001"/>
    <n v="15162.508208699999"/>
    <n v="2115.71002735"/>
    <n v="2138.3112122500002"/>
    <x v="0"/>
  </r>
  <r>
    <x v="0"/>
    <x v="4"/>
    <x v="0"/>
    <x v="1"/>
    <s v="Telecom"/>
    <x v="12"/>
    <n v="15300.93605753"/>
    <n v="15464.43997696"/>
    <n v="2157.8331684499999"/>
    <n v="2180.8915081"/>
    <x v="0"/>
  </r>
  <r>
    <x v="0"/>
    <x v="5"/>
    <x v="0"/>
    <x v="1"/>
    <s v="Telecom"/>
    <x v="12"/>
    <n v="15924.013466779999"/>
    <n v="16094.41250525"/>
    <n v="2245.7034199999998"/>
    <n v="2269.73415221"/>
    <x v="0"/>
  </r>
  <r>
    <x v="0"/>
    <x v="6"/>
    <x v="0"/>
    <x v="1"/>
    <s v="Telecom"/>
    <x v="12"/>
    <n v="16459.075421630001"/>
    <n v="16633.27887591"/>
    <n v="2321.16118474"/>
    <n v="2345.72843934"/>
    <x v="0"/>
  </r>
  <r>
    <x v="0"/>
    <x v="7"/>
    <x v="0"/>
    <x v="1"/>
    <s v="Telecom"/>
    <x v="12"/>
    <n v="16947.275960160001"/>
    <n v="17123.607662089998"/>
    <n v="2390.0102610899999"/>
    <n v="2414.8776544100001"/>
    <x v="0"/>
  </r>
  <r>
    <x v="0"/>
    <x v="2"/>
    <x v="0"/>
    <x v="0"/>
    <s v="Finance"/>
    <x v="13"/>
    <n v="1032.84735914"/>
    <n v="1249.74530456"/>
    <n v="144.06650106000001"/>
    <n v="174.32046628000001"/>
    <x v="0"/>
  </r>
  <r>
    <x v="0"/>
    <x v="3"/>
    <x v="0"/>
    <x v="0"/>
    <s v="Finance"/>
    <x v="13"/>
    <n v="1086.24762334"/>
    <n v="1314.3596242399999"/>
    <n v="153.18939585999999"/>
    <n v="185.35916899"/>
    <x v="0"/>
  </r>
  <r>
    <x v="0"/>
    <x v="4"/>
    <x v="0"/>
    <x v="0"/>
    <s v="Finance"/>
    <x v="13"/>
    <n v="1127.8211154400001"/>
    <n v="1364.66354968"/>
    <n v="159.05234829"/>
    <n v="192.45334142999999"/>
    <x v="0"/>
  </r>
  <r>
    <x v="0"/>
    <x v="5"/>
    <x v="0"/>
    <x v="0"/>
    <s v="Finance"/>
    <x v="13"/>
    <n v="1196.8809116800001"/>
    <n v="1448.22590313"/>
    <n v="168.79159028000001"/>
    <n v="204.23782424000001"/>
    <x v="0"/>
  </r>
  <r>
    <x v="0"/>
    <x v="6"/>
    <x v="0"/>
    <x v="0"/>
    <s v="Finance"/>
    <x v="13"/>
    <n v="1281.47480952"/>
    <n v="1550.5845195100001"/>
    <n v="180.72154789000001"/>
    <n v="218.67307295000001"/>
    <x v="0"/>
  </r>
  <r>
    <x v="0"/>
    <x v="7"/>
    <x v="0"/>
    <x v="0"/>
    <s v="Finance"/>
    <x v="13"/>
    <n v="1391.14908066"/>
    <n v="1683.2903876"/>
    <n v="196.18849574000001"/>
    <n v="237.38807983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CF6B4-6E33-4B7B-8FEC-B64ED0409A6F}" name="PivotTable1" cacheId="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K38" firstHeaderRow="1" firstDataRow="2" firstDataCol="2"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8">
        <item x="0"/>
        <item x="1"/>
        <item x="2"/>
        <item x="3"/>
        <item x="4"/>
        <item x="5"/>
        <item x="6"/>
        <item x="7"/>
      </items>
    </pivotField>
    <pivotField axis="axisPage" compact="0" outline="0" showAll="0" defaultSubtotal="0">
      <items count="1">
        <item x="0"/>
      </items>
    </pivotField>
    <pivotField axis="axisRow" compact="0" outline="0" subtotalTop="0" showAll="0" defaultSubtotal="0">
      <items count="2">
        <item x="0"/>
        <item x="1"/>
      </items>
    </pivotField>
    <pivotField compact="0" outline="0" subtotalTop="0" showAll="0" defaultSubtotal="0"/>
    <pivotField axis="axisRow" compact="0" outline="0" subtotalTop="0" showAll="0" sortType="descending" defaultSubtotal="0">
      <items count="14">
        <item x="0"/>
        <item x="1"/>
        <item x="2"/>
        <item x="3"/>
        <item x="4"/>
        <item x="5"/>
        <item x="6"/>
        <item x="7"/>
        <item x="8"/>
        <item x="9"/>
        <item x="10"/>
        <item x="11"/>
        <item x="12"/>
        <item x="13"/>
      </items>
      <autoSortScope>
        <pivotArea dataOnly="0" outline="0" fieldPosition="0">
          <references count="2">
            <reference field="4294967294" count="1" selected="0">
              <x v="0"/>
            </reference>
            <reference field="1" count="1" selected="0">
              <x v="2"/>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3">
        <item m="1" x="2"/>
        <item m="1" x="1"/>
        <item x="0"/>
      </items>
    </pivotField>
  </pivotFields>
  <rowFields count="2">
    <field x="3"/>
    <field x="5"/>
  </rowFields>
  <rowItems count="15">
    <i>
      <x/>
      <x v="2"/>
    </i>
    <i r="1">
      <x v="13"/>
    </i>
    <i r="1">
      <x v="7"/>
    </i>
    <i r="1">
      <x v="1"/>
    </i>
    <i r="1">
      <x/>
    </i>
    <i r="1">
      <x v="3"/>
    </i>
    <i r="1">
      <x v="8"/>
    </i>
    <i r="1">
      <x v="9"/>
    </i>
    <i r="1">
      <x v="11"/>
    </i>
    <i r="1">
      <x v="5"/>
    </i>
    <i r="1">
      <x v="4"/>
    </i>
    <i r="1">
      <x v="10"/>
    </i>
    <i r="1">
      <x v="6"/>
    </i>
    <i>
      <x v="1"/>
      <x v="12"/>
    </i>
    <i t="grand">
      <x/>
    </i>
  </rowItems>
  <colFields count="1">
    <field x="1"/>
  </colFields>
  <colItems count="8">
    <i>
      <x/>
    </i>
    <i>
      <x v="1"/>
    </i>
    <i>
      <x v="2"/>
    </i>
    <i>
      <x v="3"/>
    </i>
    <i>
      <x v="4"/>
    </i>
    <i>
      <x v="5"/>
    </i>
    <i>
      <x v="6"/>
    </i>
    <i>
      <x v="7"/>
    </i>
  </colItems>
  <pageFields count="3">
    <pageField fld="0" item="0" hier="-1"/>
    <pageField fld="2" item="0" hier="-1"/>
    <pageField fld="10" item="2" hier="-1"/>
  </pageFields>
  <dataFields count="1">
    <dataField name="Sum of Vendor Revenue (CNY M)" fld="6"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H81" sqref="AH81"/>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90" zoomScaleNormal="90" workbookViewId="0">
      <selection activeCell="Y36" sqref="Y36"/>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10</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9</v>
      </c>
      <c r="C42" s="9"/>
      <c r="D42" s="9"/>
      <c r="E42" s="9"/>
      <c r="F42" s="10"/>
      <c r="G42" s="10"/>
      <c r="H42" s="10"/>
      <c r="I42" s="10"/>
      <c r="J42" s="11"/>
      <c r="K42" s="12"/>
      <c r="L42" s="12"/>
      <c r="M42" s="12"/>
      <c r="N42" s="12"/>
      <c r="O42" s="12"/>
      <c r="P42" s="12"/>
      <c r="Q42" s="12"/>
      <c r="R42" s="12"/>
      <c r="S42" s="12"/>
      <c r="T42" s="12"/>
      <c r="U42" s="12"/>
      <c r="V42" s="12"/>
    </row>
    <row r="43" spans="2:28" ht="15" customHeight="1">
      <c r="B43" s="13" t="s">
        <v>4</v>
      </c>
      <c r="C43" s="13" t="s">
        <v>5</v>
      </c>
      <c r="D43" s="13" t="s">
        <v>6</v>
      </c>
      <c r="E43" s="13" t="s">
        <v>7</v>
      </c>
      <c r="F43" s="13" t="s">
        <v>8</v>
      </c>
      <c r="G43" s="13" t="s">
        <v>1</v>
      </c>
      <c r="H43" s="13" t="s">
        <v>11</v>
      </c>
      <c r="I43" s="13" t="s">
        <v>12</v>
      </c>
      <c r="J43" s="13" t="s">
        <v>13</v>
      </c>
      <c r="K43" s="13" t="s">
        <v>14</v>
      </c>
      <c r="L43" s="13" t="s">
        <v>15</v>
      </c>
      <c r="M43" s="13" t="s">
        <v>16</v>
      </c>
      <c r="N43" s="13" t="s">
        <v>17</v>
      </c>
      <c r="O43" s="13" t="s">
        <v>18</v>
      </c>
      <c r="P43" s="13" t="s">
        <v>19</v>
      </c>
      <c r="Q43" s="13" t="s">
        <v>20</v>
      </c>
      <c r="R43" s="13" t="s">
        <v>21</v>
      </c>
      <c r="S43" s="13" t="s">
        <v>22</v>
      </c>
      <c r="T43" s="13" t="s">
        <v>23</v>
      </c>
      <c r="U43" s="13" t="s">
        <v>47</v>
      </c>
      <c r="V43" s="13" t="s">
        <v>48</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D2242"/>
  <sheetViews>
    <sheetView showGridLines="0" tabSelected="1" zoomScaleNormal="100" workbookViewId="0">
      <selection activeCell="O25" sqref="O25"/>
    </sheetView>
  </sheetViews>
  <sheetFormatPr defaultColWidth="5.54296875" defaultRowHeight="14" customHeight="1"/>
  <cols>
    <col min="1" max="1" width="4.81640625" style="3" customWidth="1"/>
    <col min="2" max="2" width="28.9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5"/>
      <c r="L18" s="16"/>
      <c r="M18"/>
      <c r="N18"/>
    </row>
    <row r="19" spans="2:27" ht="18">
      <c r="B19" s="17" t="s">
        <v>24</v>
      </c>
      <c r="C19" s="15" t="s">
        <v>25</v>
      </c>
      <c r="D19" s="15"/>
      <c r="E19" s="15"/>
      <c r="F19" s="15"/>
      <c r="G19" s="15"/>
      <c r="H19" s="15"/>
      <c r="I19" s="15"/>
      <c r="J19" s="16"/>
      <c r="K19" s="16"/>
      <c r="L19" s="16"/>
      <c r="M19" s="5"/>
      <c r="N19"/>
      <c r="O19"/>
    </row>
    <row r="20" spans="2:27" ht="18">
      <c r="B20" s="17" t="s">
        <v>31</v>
      </c>
      <c r="C20" s="15" t="s">
        <v>48</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4.5">
      <c r="B22" s="17" t="s">
        <v>27</v>
      </c>
      <c r="C22" s="15"/>
      <c r="D22" s="17" t="s">
        <v>0</v>
      </c>
      <c r="E22" s="15"/>
      <c r="F22" s="15"/>
      <c r="G22" s="15"/>
      <c r="H22" s="15"/>
      <c r="I22" s="15"/>
      <c r="J22" s="15"/>
      <c r="K22" s="15"/>
      <c r="L22"/>
      <c r="M22" s="4"/>
      <c r="N22" s="4"/>
      <c r="O22" s="4"/>
      <c r="P22" s="4"/>
      <c r="Q22"/>
      <c r="R22"/>
      <c r="S22"/>
      <c r="T22"/>
      <c r="U22" s="4"/>
      <c r="V22" s="4"/>
    </row>
    <row r="23" spans="2:27" ht="14.5">
      <c r="B23" s="17" t="s">
        <v>26</v>
      </c>
      <c r="C23" s="17" t="s">
        <v>32</v>
      </c>
      <c r="D23" s="15">
        <v>2023</v>
      </c>
      <c r="E23" s="15">
        <v>2024</v>
      </c>
      <c r="F23" s="15">
        <v>2025</v>
      </c>
      <c r="G23" s="15">
        <v>2026</v>
      </c>
      <c r="H23" s="15">
        <v>2027</v>
      </c>
      <c r="I23" s="15">
        <v>2028</v>
      </c>
      <c r="J23" s="15">
        <v>2029</v>
      </c>
      <c r="K23" s="15">
        <v>2030</v>
      </c>
      <c r="L23"/>
      <c r="M23" s="4"/>
      <c r="N23" s="4"/>
      <c r="O23" s="4"/>
      <c r="P23" s="4"/>
      <c r="Q23"/>
      <c r="R23"/>
      <c r="S23"/>
      <c r="T23"/>
      <c r="U23" s="4"/>
      <c r="V23" s="4"/>
    </row>
    <row r="24" spans="2:27" ht="14.5">
      <c r="B24" s="15" t="s">
        <v>29</v>
      </c>
      <c r="C24" s="15" t="s">
        <v>33</v>
      </c>
      <c r="D24" s="18">
        <v>1080.5714053600004</v>
      </c>
      <c r="E24" s="18">
        <v>1199.33569786</v>
      </c>
      <c r="F24" s="18">
        <v>1160.5953015600001</v>
      </c>
      <c r="G24" s="18">
        <v>1256.3615434999999</v>
      </c>
      <c r="H24" s="18">
        <v>1398.5176271</v>
      </c>
      <c r="I24" s="18">
        <v>1534.55040908</v>
      </c>
      <c r="J24" s="18">
        <v>1660.3776334199999</v>
      </c>
      <c r="K24" s="18">
        <v>1786.3347289999999</v>
      </c>
      <c r="L24"/>
      <c r="M24"/>
      <c r="N24"/>
      <c r="O24"/>
      <c r="P24"/>
      <c r="Q24"/>
      <c r="R24"/>
      <c r="S24"/>
      <c r="T24"/>
      <c r="U24"/>
      <c r="V24"/>
      <c r="W24"/>
      <c r="X24"/>
      <c r="Y24"/>
    </row>
    <row r="25" spans="2:27" ht="14.5">
      <c r="B25" s="15"/>
      <c r="C25" s="15" t="s">
        <v>34</v>
      </c>
      <c r="D25" s="18">
        <v>1141.5111547499998</v>
      </c>
      <c r="E25" s="18">
        <v>1003.1677778299999</v>
      </c>
      <c r="F25" s="18">
        <v>1032.84735914</v>
      </c>
      <c r="G25" s="18">
        <v>1086.24762334</v>
      </c>
      <c r="H25" s="18">
        <v>1127.8211154400001</v>
      </c>
      <c r="I25" s="18">
        <v>1196.8809116800001</v>
      </c>
      <c r="J25" s="18">
        <v>1281.47480952</v>
      </c>
      <c r="K25" s="18">
        <v>1391.14908066</v>
      </c>
      <c r="L25"/>
      <c r="M25"/>
      <c r="N25"/>
      <c r="O25"/>
      <c r="P25"/>
      <c r="Q25"/>
      <c r="R25"/>
      <c r="S25"/>
      <c r="T25"/>
      <c r="U25"/>
      <c r="V25"/>
      <c r="W25"/>
      <c r="X25"/>
      <c r="Y25"/>
    </row>
    <row r="26" spans="2:27" ht="14.5">
      <c r="B26" s="15"/>
      <c r="C26" s="15" t="s">
        <v>35</v>
      </c>
      <c r="D26" s="18">
        <v>976.94512176000023</v>
      </c>
      <c r="E26" s="18">
        <v>919.00808553000002</v>
      </c>
      <c r="F26" s="18">
        <v>693.81578325999999</v>
      </c>
      <c r="G26" s="18">
        <v>714.63444512000001</v>
      </c>
      <c r="H26" s="18">
        <v>756.55158442000004</v>
      </c>
      <c r="I26" s="18">
        <v>773.24057478999998</v>
      </c>
      <c r="J26" s="18">
        <v>790.93953829999998</v>
      </c>
      <c r="K26" s="18">
        <v>835.01104111999996</v>
      </c>
      <c r="L26"/>
      <c r="M26"/>
      <c r="N26"/>
      <c r="O26"/>
      <c r="P26"/>
      <c r="Q26"/>
      <c r="R26"/>
      <c r="S26"/>
      <c r="T26"/>
      <c r="U26"/>
      <c r="V26"/>
      <c r="W26"/>
      <c r="X26"/>
      <c r="Y26"/>
    </row>
    <row r="27" spans="2:27" ht="14.5">
      <c r="B27" s="15"/>
      <c r="C27" s="15" t="s">
        <v>36</v>
      </c>
      <c r="D27" s="18">
        <v>302.04931078999999</v>
      </c>
      <c r="E27" s="18">
        <v>357.42813422</v>
      </c>
      <c r="F27" s="18">
        <v>399.97046125000003</v>
      </c>
      <c r="G27" s="18">
        <v>441.91279899</v>
      </c>
      <c r="H27" s="18">
        <v>474.23713497</v>
      </c>
      <c r="I27" s="18">
        <v>464.50476499000001</v>
      </c>
      <c r="J27" s="18">
        <v>441.36050503000001</v>
      </c>
      <c r="K27" s="18">
        <v>477.97619971</v>
      </c>
      <c r="L27"/>
      <c r="M27"/>
      <c r="N27"/>
      <c r="O27"/>
      <c r="P27"/>
      <c r="Q27"/>
      <c r="R27"/>
      <c r="S27"/>
      <c r="T27"/>
      <c r="U27"/>
      <c r="V27"/>
      <c r="W27"/>
      <c r="X27"/>
      <c r="Y27"/>
      <c r="Z27"/>
      <c r="AA27"/>
    </row>
    <row r="28" spans="2:27" ht="14.5">
      <c r="B28" s="15"/>
      <c r="C28" s="15" t="s">
        <v>40</v>
      </c>
      <c r="D28" s="18">
        <v>233.17568713</v>
      </c>
      <c r="E28" s="18">
        <v>190.27099867999999</v>
      </c>
      <c r="F28" s="18">
        <v>284.89784085999997</v>
      </c>
      <c r="G28" s="18">
        <v>298.48092579000001</v>
      </c>
      <c r="H28" s="18">
        <v>308.07931994</v>
      </c>
      <c r="I28" s="18">
        <v>332.58874656</v>
      </c>
      <c r="J28" s="18">
        <v>350.02821475000002</v>
      </c>
      <c r="K28" s="18">
        <v>361.80439698999999</v>
      </c>
      <c r="L28"/>
      <c r="M28"/>
      <c r="N28"/>
      <c r="O28"/>
      <c r="P28"/>
      <c r="Q28"/>
      <c r="R28"/>
      <c r="S28"/>
      <c r="T28"/>
      <c r="U28"/>
      <c r="V28"/>
      <c r="W28"/>
      <c r="X28"/>
      <c r="Y28"/>
      <c r="Z28"/>
      <c r="AA28"/>
    </row>
    <row r="29" spans="2:27" ht="14.5">
      <c r="B29" s="15"/>
      <c r="C29" s="15" t="s">
        <v>38</v>
      </c>
      <c r="D29" s="18">
        <v>283.81268105999993</v>
      </c>
      <c r="E29" s="18">
        <v>252.47833503999999</v>
      </c>
      <c r="F29" s="18">
        <v>272.56715985</v>
      </c>
      <c r="G29" s="18">
        <v>268.78216500000002</v>
      </c>
      <c r="H29" s="18">
        <v>276.30072856999999</v>
      </c>
      <c r="I29" s="18">
        <v>288.76386772000001</v>
      </c>
      <c r="J29" s="18">
        <v>292.78363271000001</v>
      </c>
      <c r="K29" s="18">
        <v>301.06151359</v>
      </c>
      <c r="L29"/>
      <c r="M29"/>
      <c r="N29"/>
      <c r="O29"/>
      <c r="P29"/>
      <c r="Q29"/>
      <c r="R29"/>
      <c r="S29"/>
      <c r="T29"/>
      <c r="U29"/>
      <c r="V29"/>
      <c r="W29"/>
      <c r="X29"/>
      <c r="Y29"/>
      <c r="Z29"/>
      <c r="AA29"/>
    </row>
    <row r="30" spans="2:27" ht="14.5">
      <c r="B30" s="15"/>
      <c r="C30" s="15" t="s">
        <v>37</v>
      </c>
      <c r="D30" s="18">
        <v>294.28173990999983</v>
      </c>
      <c r="E30" s="18">
        <v>269.6251219200002</v>
      </c>
      <c r="F30" s="18">
        <v>260.08490367000002</v>
      </c>
      <c r="G30" s="18">
        <v>268.88555658000001</v>
      </c>
      <c r="H30" s="18">
        <v>278.89255816999997</v>
      </c>
      <c r="I30" s="18">
        <v>294.58605218000002</v>
      </c>
      <c r="J30" s="18">
        <v>318.12235141999997</v>
      </c>
      <c r="K30" s="18">
        <v>330.36870799000002</v>
      </c>
      <c r="L30"/>
      <c r="M30"/>
      <c r="N30"/>
      <c r="O30"/>
      <c r="P30"/>
      <c r="Q30"/>
      <c r="R30"/>
      <c r="S30"/>
      <c r="T30"/>
      <c r="U30"/>
      <c r="V30"/>
      <c r="W30"/>
      <c r="X30"/>
      <c r="Y30"/>
      <c r="Z30"/>
      <c r="AA30"/>
    </row>
    <row r="31" spans="2:27" ht="14.5">
      <c r="B31" s="15"/>
      <c r="C31" s="15" t="s">
        <v>39</v>
      </c>
      <c r="D31" s="18">
        <v>192.30558524000014</v>
      </c>
      <c r="E31" s="18">
        <v>189.81175677000004</v>
      </c>
      <c r="F31" s="18">
        <v>189.75514533</v>
      </c>
      <c r="G31" s="18">
        <v>184.80106477000001</v>
      </c>
      <c r="H31" s="18">
        <v>190.66688653</v>
      </c>
      <c r="I31" s="18">
        <v>197.49364191999999</v>
      </c>
      <c r="J31" s="18">
        <v>204.60097685</v>
      </c>
      <c r="K31" s="18">
        <v>210.68070976000001</v>
      </c>
      <c r="L31"/>
      <c r="M31"/>
      <c r="N31"/>
      <c r="O31"/>
      <c r="P31"/>
      <c r="Q31"/>
      <c r="R31"/>
      <c r="S31"/>
      <c r="T31"/>
      <c r="U31"/>
      <c r="V31"/>
      <c r="W31"/>
      <c r="X31"/>
      <c r="Y31"/>
      <c r="Z31"/>
      <c r="AA31"/>
    </row>
    <row r="32" spans="2:27" ht="14.5">
      <c r="B32" s="15"/>
      <c r="C32" s="15" t="s">
        <v>41</v>
      </c>
      <c r="D32" s="18">
        <v>208.59940323999999</v>
      </c>
      <c r="E32" s="18">
        <v>175.89402822000002</v>
      </c>
      <c r="F32" s="18">
        <v>145.90190375</v>
      </c>
      <c r="G32" s="18">
        <v>152.75861140000001</v>
      </c>
      <c r="H32" s="18">
        <v>141.39613542999999</v>
      </c>
      <c r="I32" s="18">
        <v>149.73032703000001</v>
      </c>
      <c r="J32" s="18">
        <v>142.64724942000001</v>
      </c>
      <c r="K32" s="18">
        <v>131.11708947</v>
      </c>
      <c r="L32"/>
      <c r="M32"/>
      <c r="N32"/>
      <c r="O32"/>
      <c r="P32"/>
      <c r="Q32"/>
      <c r="R32"/>
      <c r="S32"/>
      <c r="T32"/>
      <c r="U32"/>
      <c r="V32"/>
      <c r="W32"/>
      <c r="X32"/>
      <c r="Y32"/>
      <c r="Z32"/>
      <c r="AA32"/>
    </row>
    <row r="33" spans="2:27" ht="14.5">
      <c r="B33" s="15"/>
      <c r="C33" s="15" t="s">
        <v>42</v>
      </c>
      <c r="D33" s="18">
        <v>159.15649052000003</v>
      </c>
      <c r="E33" s="18">
        <v>119.30274497000001</v>
      </c>
      <c r="F33" s="18">
        <v>90.316992940000006</v>
      </c>
      <c r="G33" s="18">
        <v>87.445060400000003</v>
      </c>
      <c r="H33" s="18">
        <v>92.396619250000001</v>
      </c>
      <c r="I33" s="18">
        <v>90.016803690000003</v>
      </c>
      <c r="J33" s="18">
        <v>92.970160500000006</v>
      </c>
      <c r="K33" s="18">
        <v>97.973428889999994</v>
      </c>
      <c r="L33"/>
      <c r="M33"/>
      <c r="N33"/>
      <c r="O33"/>
      <c r="P33"/>
      <c r="Q33"/>
      <c r="R33"/>
      <c r="S33"/>
      <c r="T33"/>
      <c r="U33"/>
      <c r="V33"/>
      <c r="W33"/>
      <c r="X33"/>
      <c r="Y33"/>
      <c r="Z33"/>
      <c r="AA33"/>
    </row>
    <row r="34" spans="2:27" ht="14.5">
      <c r="B34" s="15"/>
      <c r="C34" s="15" t="s">
        <v>44</v>
      </c>
      <c r="D34" s="18">
        <v>62.056501449999992</v>
      </c>
      <c r="E34" s="18">
        <v>61.834109559999987</v>
      </c>
      <c r="F34" s="18">
        <v>68.728219429999996</v>
      </c>
      <c r="G34" s="18">
        <v>66.943195059999994</v>
      </c>
      <c r="H34" s="18">
        <v>71.697292480000002</v>
      </c>
      <c r="I34" s="18">
        <v>73.975893810000002</v>
      </c>
      <c r="J34" s="18">
        <v>76.010217859999997</v>
      </c>
      <c r="K34" s="18">
        <v>77.868283840000004</v>
      </c>
      <c r="L34"/>
      <c r="M34"/>
      <c r="N34"/>
      <c r="O34"/>
      <c r="P34"/>
      <c r="Q34"/>
      <c r="R34"/>
      <c r="S34"/>
      <c r="T34"/>
      <c r="U34"/>
      <c r="V34"/>
      <c r="W34"/>
      <c r="X34"/>
      <c r="Y34"/>
      <c r="Z34"/>
      <c r="AA34"/>
    </row>
    <row r="35" spans="2:27" ht="14.5">
      <c r="B35" s="15"/>
      <c r="C35" s="15" t="s">
        <v>43</v>
      </c>
      <c r="D35" s="18">
        <v>82.463793749999979</v>
      </c>
      <c r="E35" s="18">
        <v>67.876809860000009</v>
      </c>
      <c r="F35" s="18">
        <v>53.90440452</v>
      </c>
      <c r="G35" s="18">
        <v>46.742255249999999</v>
      </c>
      <c r="H35" s="18">
        <v>49.217021369999998</v>
      </c>
      <c r="I35" s="18">
        <v>47.365293170000001</v>
      </c>
      <c r="J35" s="18">
        <v>44.196590219999997</v>
      </c>
      <c r="K35" s="18">
        <v>45.555133509999997</v>
      </c>
      <c r="L35"/>
      <c r="M35"/>
      <c r="N35"/>
      <c r="O35"/>
      <c r="P35"/>
      <c r="Q35"/>
      <c r="R35"/>
      <c r="S35"/>
      <c r="T35"/>
      <c r="U35"/>
      <c r="V35"/>
      <c r="W35"/>
      <c r="X35"/>
      <c r="Y35"/>
      <c r="Z35"/>
      <c r="AA35"/>
    </row>
    <row r="36" spans="2:27" ht="14.5">
      <c r="B36" s="15"/>
      <c r="C36" s="15" t="s">
        <v>45</v>
      </c>
      <c r="D36" s="18">
        <v>13.601418390000001</v>
      </c>
      <c r="E36" s="18">
        <v>16.879783719999999</v>
      </c>
      <c r="F36" s="18">
        <v>18.15848922</v>
      </c>
      <c r="G36" s="18">
        <v>17.432408420000002</v>
      </c>
      <c r="H36" s="18">
        <v>16.822965119999999</v>
      </c>
      <c r="I36" s="18">
        <v>18.241624829999999</v>
      </c>
      <c r="J36" s="18">
        <v>15.96933175</v>
      </c>
      <c r="K36" s="18">
        <v>14.890750540000001</v>
      </c>
      <c r="L36"/>
      <c r="M36"/>
      <c r="N36"/>
      <c r="O36"/>
      <c r="P36"/>
      <c r="Q36"/>
      <c r="R36"/>
      <c r="S36"/>
      <c r="T36"/>
      <c r="U36"/>
      <c r="V36"/>
      <c r="W36"/>
      <c r="X36"/>
      <c r="Y36"/>
      <c r="Z36"/>
      <c r="AA36"/>
    </row>
    <row r="37" spans="2:27" ht="14.5">
      <c r="B37" s="15" t="s">
        <v>30</v>
      </c>
      <c r="C37" s="15" t="s">
        <v>46</v>
      </c>
      <c r="D37" s="18">
        <v>19698.177168940001</v>
      </c>
      <c r="E37" s="18">
        <v>15561.864431099999</v>
      </c>
      <c r="F37" s="18">
        <v>15603.76716442</v>
      </c>
      <c r="G37" s="18">
        <v>15002.245918750001</v>
      </c>
      <c r="H37" s="18">
        <v>15300.93605753</v>
      </c>
      <c r="I37" s="18">
        <v>15924.013466779999</v>
      </c>
      <c r="J37" s="18">
        <v>16459.075421630001</v>
      </c>
      <c r="K37" s="18">
        <v>16947.275960160001</v>
      </c>
      <c r="L37"/>
      <c r="M37"/>
      <c r="N37"/>
      <c r="O37"/>
      <c r="P37"/>
      <c r="Q37"/>
      <c r="R37"/>
      <c r="S37"/>
      <c r="T37"/>
      <c r="U37"/>
      <c r="V37"/>
      <c r="W37"/>
      <c r="X37"/>
      <c r="Y37"/>
      <c r="Z37"/>
      <c r="AA37"/>
    </row>
    <row r="38" spans="2:27" ht="14.5">
      <c r="B38" s="15" t="s">
        <v>28</v>
      </c>
      <c r="C38" s="15"/>
      <c r="D38" s="18">
        <v>24728.707462290004</v>
      </c>
      <c r="E38" s="18">
        <v>20384.777815279998</v>
      </c>
      <c r="F38" s="18">
        <v>20275.311129199999</v>
      </c>
      <c r="G38" s="18">
        <v>19893.67357237</v>
      </c>
      <c r="H38" s="18">
        <v>20483.533046320001</v>
      </c>
      <c r="I38" s="18">
        <v>21385.952378229998</v>
      </c>
      <c r="J38" s="18">
        <v>22170.556633380002</v>
      </c>
      <c r="K38" s="18">
        <v>23009.067025230001</v>
      </c>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s="15"/>
      <c r="C43" s="15"/>
      <c r="D43" s="15"/>
      <c r="E43" s="15"/>
      <c r="F43" s="15"/>
      <c r="G43" s="15"/>
      <c r="H43" s="15"/>
      <c r="I43" s="15"/>
      <c r="J43" s="15"/>
      <c r="K43"/>
      <c r="L43"/>
      <c r="M43"/>
      <c r="N43"/>
      <c r="O43"/>
      <c r="P43"/>
      <c r="Q43"/>
      <c r="R43"/>
      <c r="S43"/>
      <c r="T43"/>
      <c r="U43"/>
      <c r="V43"/>
      <c r="W43"/>
      <c r="X43"/>
      <c r="Y43"/>
      <c r="Z43"/>
      <c r="AA43"/>
    </row>
    <row r="44" spans="2:27" ht="18">
      <c r="B44" s="15"/>
      <c r="C44" s="15"/>
      <c r="D44" s="15"/>
      <c r="E44" s="15"/>
      <c r="F44" s="15"/>
      <c r="G44" s="15"/>
      <c r="H44" s="15"/>
      <c r="I44" s="15"/>
      <c r="J44" s="16"/>
      <c r="K44"/>
      <c r="L44"/>
      <c r="M44"/>
      <c r="N44"/>
      <c r="O44"/>
      <c r="P44"/>
      <c r="Q44"/>
      <c r="R44"/>
      <c r="S44"/>
      <c r="T44"/>
      <c r="U44"/>
      <c r="V44"/>
      <c r="W44"/>
      <c r="X44"/>
      <c r="Y44"/>
      <c r="Z44"/>
      <c r="AA44"/>
    </row>
    <row r="45" spans="2:27" ht="18">
      <c r="B45" s="15"/>
      <c r="C45" s="15"/>
      <c r="D45" s="15"/>
      <c r="E45" s="15"/>
      <c r="F45" s="15"/>
      <c r="G45" s="15"/>
      <c r="H45" s="15"/>
      <c r="I45" s="15"/>
      <c r="J45" s="16"/>
      <c r="K45"/>
      <c r="L45"/>
      <c r="M45"/>
      <c r="N45"/>
      <c r="O45"/>
      <c r="P45"/>
      <c r="Q45"/>
      <c r="R45"/>
      <c r="S45"/>
      <c r="T45"/>
      <c r="U45"/>
      <c r="V45"/>
      <c r="W45"/>
      <c r="X45"/>
      <c r="Y45"/>
      <c r="Z45"/>
      <c r="AA45"/>
    </row>
    <row r="46" spans="2:27" ht="18">
      <c r="B46" s="15"/>
      <c r="C46" s="15"/>
      <c r="D46" s="15"/>
      <c r="E46" s="15"/>
      <c r="F46" s="15"/>
      <c r="G46" s="15"/>
      <c r="H46" s="15"/>
      <c r="I46" s="15"/>
      <c r="J46" s="1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30" ht="14.5">
      <c r="B65"/>
      <c r="C65"/>
      <c r="D65"/>
      <c r="E65"/>
      <c r="F65"/>
      <c r="G65"/>
      <c r="H65"/>
      <c r="I65"/>
      <c r="J65"/>
      <c r="K65"/>
      <c r="L65"/>
      <c r="M65"/>
      <c r="N65"/>
      <c r="O65"/>
      <c r="P65"/>
      <c r="Q65"/>
      <c r="R65"/>
      <c r="S65"/>
      <c r="T65"/>
      <c r="U65"/>
      <c r="V65"/>
      <c r="W65"/>
      <c r="X65"/>
      <c r="Y65"/>
      <c r="Z65"/>
    </row>
    <row r="66" spans="2:30" ht="14" customHeight="1">
      <c r="B66"/>
      <c r="C66"/>
      <c r="D66"/>
      <c r="E66"/>
      <c r="F66"/>
      <c r="G66"/>
      <c r="H66"/>
      <c r="I66"/>
      <c r="J66"/>
      <c r="K66"/>
      <c r="L66"/>
      <c r="M66"/>
      <c r="N66"/>
    </row>
    <row r="67" spans="2:30" ht="14.5">
      <c r="B67" s="15"/>
      <c r="C67" s="15"/>
      <c r="D67"/>
      <c r="E67"/>
      <c r="F67"/>
      <c r="G67"/>
      <c r="H67"/>
      <c r="I67"/>
      <c r="J67"/>
      <c r="K67"/>
      <c r="L67"/>
      <c r="M67"/>
      <c r="N67"/>
    </row>
    <row r="68" spans="2:30" ht="14.5">
      <c r="B68" s="15"/>
      <c r="C68" s="15"/>
      <c r="D68" s="15"/>
      <c r="E68" s="15"/>
      <c r="F68" s="15"/>
      <c r="G68" s="15"/>
      <c r="H68" s="15"/>
      <c r="I68" s="15"/>
      <c r="J68" s="15"/>
      <c r="K68"/>
      <c r="L68"/>
      <c r="M68"/>
      <c r="N68"/>
    </row>
    <row r="69" spans="2:30" ht="18">
      <c r="B69" s="15"/>
      <c r="C69" s="15"/>
      <c r="D69" s="15"/>
      <c r="E69" s="15"/>
      <c r="F69" s="15"/>
      <c r="G69" s="15"/>
      <c r="H69" s="15"/>
      <c r="I69" s="15"/>
      <c r="J69" s="16"/>
      <c r="K69"/>
      <c r="L69"/>
      <c r="M69"/>
      <c r="N69"/>
    </row>
    <row r="70" spans="2:30" ht="18">
      <c r="B70" s="15"/>
      <c r="C70" s="15"/>
      <c r="D70" s="15"/>
      <c r="E70" s="15"/>
      <c r="F70" s="15"/>
      <c r="G70" s="15"/>
      <c r="H70" s="15"/>
      <c r="I70" s="15"/>
      <c r="J70" s="16"/>
      <c r="K70"/>
      <c r="L70"/>
      <c r="M70"/>
      <c r="N70"/>
    </row>
    <row r="71" spans="2:30" ht="14" customHeight="1">
      <c r="B71" s="15"/>
      <c r="C71" s="15"/>
      <c r="D71" s="15"/>
      <c r="E71" s="15"/>
      <c r="F71" s="15"/>
      <c r="G71" s="15"/>
      <c r="H71" s="15"/>
      <c r="I71" s="15"/>
      <c r="J71" s="16"/>
      <c r="K71"/>
      <c r="L71"/>
      <c r="M71"/>
      <c r="N71"/>
    </row>
    <row r="72" spans="2:30" ht="14.5">
      <c r="B72"/>
      <c r="C72"/>
      <c r="D72"/>
      <c r="E72"/>
      <c r="F72"/>
      <c r="G72"/>
      <c r="H72"/>
      <c r="I72"/>
      <c r="J72"/>
      <c r="K72"/>
      <c r="L72"/>
      <c r="M72"/>
      <c r="N72"/>
      <c r="O72"/>
      <c r="P72"/>
      <c r="Q72"/>
      <c r="R72"/>
      <c r="S72"/>
      <c r="T72"/>
      <c r="U72"/>
      <c r="V72"/>
      <c r="W72"/>
      <c r="X72"/>
      <c r="Y72"/>
      <c r="Z72"/>
      <c r="AA72"/>
      <c r="AB72"/>
      <c r="AC72"/>
      <c r="AD72"/>
    </row>
    <row r="73" spans="2:30" ht="14.5">
      <c r="B73"/>
      <c r="C73"/>
      <c r="D73"/>
      <c r="E73"/>
      <c r="F73"/>
      <c r="G73"/>
      <c r="H73"/>
      <c r="I73"/>
      <c r="J73"/>
      <c r="K73"/>
      <c r="L73"/>
      <c r="M73"/>
      <c r="N73"/>
      <c r="O73"/>
      <c r="P73"/>
      <c r="Q73"/>
      <c r="R73"/>
      <c r="S73"/>
      <c r="T73"/>
      <c r="U73"/>
      <c r="V73"/>
      <c r="W73"/>
      <c r="X73"/>
      <c r="Y73"/>
      <c r="Z73"/>
      <c r="AA73"/>
      <c r="AB73"/>
      <c r="AC73"/>
      <c r="AD73"/>
    </row>
    <row r="74" spans="2:30" ht="14.5">
      <c r="B74"/>
      <c r="C74"/>
      <c r="D74"/>
      <c r="E74"/>
      <c r="F74"/>
      <c r="G74"/>
      <c r="H74"/>
      <c r="I74"/>
      <c r="J74"/>
      <c r="K74"/>
      <c r="L74"/>
      <c r="M74"/>
      <c r="N74"/>
      <c r="O74"/>
      <c r="P74"/>
      <c r="Q74"/>
      <c r="R74"/>
      <c r="S74"/>
      <c r="T74"/>
      <c r="U74"/>
      <c r="V74"/>
      <c r="W74"/>
      <c r="X74"/>
      <c r="Y74"/>
      <c r="Z74"/>
      <c r="AA74"/>
      <c r="AB74"/>
      <c r="AC74"/>
      <c r="AD74"/>
    </row>
    <row r="75" spans="2:30" ht="14.5">
      <c r="B75"/>
      <c r="C75"/>
      <c r="D75"/>
      <c r="E75"/>
      <c r="F75"/>
      <c r="G75"/>
      <c r="H75"/>
      <c r="I75"/>
      <c r="J75"/>
      <c r="K75"/>
      <c r="L75"/>
      <c r="M75"/>
      <c r="N75"/>
      <c r="O75"/>
      <c r="P75"/>
      <c r="Q75"/>
      <c r="R75"/>
      <c r="S75"/>
      <c r="T75"/>
      <c r="U75"/>
      <c r="V75"/>
      <c r="W75"/>
      <c r="X75"/>
      <c r="Y75"/>
      <c r="Z75"/>
      <c r="AA75"/>
      <c r="AB75"/>
      <c r="AC75"/>
      <c r="AD75"/>
    </row>
    <row r="76" spans="2:30" ht="14.5">
      <c r="B76"/>
      <c r="C76"/>
      <c r="D76"/>
      <c r="E76"/>
      <c r="F76"/>
      <c r="G76"/>
      <c r="H76"/>
      <c r="I76"/>
      <c r="J76"/>
      <c r="K76"/>
      <c r="L76"/>
      <c r="M76"/>
      <c r="N76"/>
      <c r="O76"/>
      <c r="P76"/>
      <c r="Q76"/>
      <c r="R76"/>
      <c r="S76"/>
      <c r="T76"/>
      <c r="U76"/>
      <c r="V76"/>
      <c r="W76"/>
      <c r="X76"/>
      <c r="Y76"/>
      <c r="Z76"/>
      <c r="AA76"/>
      <c r="AB76"/>
      <c r="AC76"/>
      <c r="AD76"/>
    </row>
    <row r="77" spans="2:30" ht="14.5">
      <c r="B77"/>
      <c r="C77"/>
      <c r="D77"/>
      <c r="E77"/>
      <c r="F77"/>
      <c r="G77"/>
      <c r="H77"/>
      <c r="I77"/>
      <c r="J77"/>
      <c r="K77"/>
      <c r="L77"/>
      <c r="M77"/>
      <c r="N77"/>
      <c r="O77"/>
      <c r="P77"/>
      <c r="Q77"/>
      <c r="R77"/>
      <c r="S77"/>
      <c r="T77"/>
      <c r="U77"/>
      <c r="V77"/>
      <c r="W77"/>
      <c r="X77"/>
      <c r="Y77"/>
      <c r="Z77"/>
      <c r="AA77"/>
      <c r="AB77"/>
      <c r="AC77"/>
      <c r="AD77"/>
    </row>
    <row r="78" spans="2:30" ht="14" customHeight="1">
      <c r="B78"/>
      <c r="C78"/>
      <c r="D78"/>
      <c r="E78"/>
      <c r="F78"/>
      <c r="G78"/>
      <c r="H78"/>
      <c r="I78"/>
      <c r="J78"/>
      <c r="K78"/>
      <c r="L78"/>
      <c r="M78"/>
      <c r="N78"/>
    </row>
    <row r="79" spans="2:30" ht="14" customHeight="1">
      <c r="B79"/>
      <c r="C79"/>
      <c r="D79"/>
      <c r="E79"/>
      <c r="F79"/>
      <c r="G79"/>
      <c r="H79"/>
      <c r="I79"/>
      <c r="J79"/>
      <c r="K79"/>
      <c r="L79"/>
      <c r="M79"/>
      <c r="N79"/>
    </row>
    <row r="80" spans="2:30"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4" sqref="A4"/>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49</v>
      </c>
      <c r="B1" s="1"/>
    </row>
    <row r="2" spans="1:2" ht="25.75" customHeight="1">
      <c r="A2" s="1" t="s">
        <v>50</v>
      </c>
    </row>
    <row r="3" spans="1:2" ht="25.75" customHeight="1">
      <c r="A3" s="1" t="s">
        <v>51</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2026-03-23T04:20:41Z</dcterms:modified>
</cp:coreProperties>
</file>