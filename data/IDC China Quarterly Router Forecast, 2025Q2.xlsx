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wang\Desktop\work\LAN Tracker\2025Q2\Delivery\Delivery Forecast\"/>
    </mc:Choice>
  </mc:AlternateContent>
  <xr:revisionPtr revIDLastSave="0" documentId="13_ncr:1_{47A1CCFB-F50A-471D-80C0-5D583090B238}" xr6:coauthVersionLast="47" xr6:coauthVersionMax="47" xr10:uidLastSave="{00000000-0000-0000-0000-000000000000}"/>
  <bookViews>
    <workbookView xWindow="28680" yWindow="-120" windowWidth="29040" windowHeight="15720" activeTab="2" xr2:uid="{00000000-000D-0000-FFFF-FFFF00000000}"/>
  </bookViews>
  <sheets>
    <sheet name="Cover" sheetId="2" r:id="rId1"/>
    <sheet name="Info" sheetId="14" r:id="rId2"/>
    <sheet name="Product"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1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<sst xmlns="http://schemas.openxmlformats.org/spreadsheetml/2006/main" count="57" uniqueCount="48">
  <si>
    <t>Year</t>
  </si>
  <si>
    <t>2022Q1</t>
  </si>
  <si>
    <t>Country</t>
  </si>
  <si>
    <t>PRC</t>
  </si>
  <si>
    <t>2020Q3</t>
  </si>
  <si>
    <t>2020Q4</t>
  </si>
  <si>
    <t>2021Q1</t>
  </si>
  <si>
    <t>2021Q2</t>
  </si>
  <si>
    <t>2021Q3</t>
  </si>
  <si>
    <t>2021Q4</t>
  </si>
  <si>
    <t>Chinese Yuan Renminbi</t>
  </si>
  <si>
    <t>2020Q2</t>
  </si>
  <si>
    <t xml:space="preserve">Main Contacts </t>
  </si>
  <si>
    <t>2022Q2</t>
  </si>
  <si>
    <t>2022Q3</t>
  </si>
  <si>
    <t>2022Q4</t>
  </si>
  <si>
    <t>2023Q1</t>
  </si>
  <si>
    <t>2023Q2</t>
  </si>
  <si>
    <t>2023Q3</t>
  </si>
  <si>
    <t>2023Q4</t>
  </si>
  <si>
    <t>2024Q1</t>
  </si>
  <si>
    <t>2024Q2</t>
  </si>
  <si>
    <t>2024Q3</t>
  </si>
  <si>
    <t>2024Q4</t>
  </si>
  <si>
    <t>2025Q1</t>
  </si>
  <si>
    <t>2025Q2</t>
  </si>
  <si>
    <t>Technology</t>
  </si>
  <si>
    <t>Router</t>
  </si>
  <si>
    <t>Deployment</t>
  </si>
  <si>
    <t>Sum of Vendor Revenue (CNY M)</t>
  </si>
  <si>
    <t>Grand Total</t>
  </si>
  <si>
    <t>Product</t>
  </si>
  <si>
    <t>Enterprise</t>
  </si>
  <si>
    <t>High-End</t>
  </si>
  <si>
    <t>Mid-Range</t>
  </si>
  <si>
    <t>Low-End</t>
  </si>
  <si>
    <t>SOHO</t>
  </si>
  <si>
    <t>Service Provider</t>
  </si>
  <si>
    <t>Enterprise Total</t>
  </si>
  <si>
    <t>Service Provider Total</t>
  </si>
  <si>
    <t>Publication Date: Sep 23, 2025</t>
  </si>
  <si>
    <t>IDC China Quarterly Router Forecast, 2025Q2</t>
  </si>
  <si>
    <t>2025Q2 Final Forecast Data</t>
  </si>
  <si>
    <t>Publish Date</t>
  </si>
  <si>
    <t>Connectivity</t>
  </si>
  <si>
    <t>N/A</t>
  </si>
  <si>
    <t>Core</t>
  </si>
  <si>
    <t>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</si>
</sst>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22">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Forecast,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9989" y="95249"/>
          <a:ext cx="13638975"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Forecast,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9229" y="2216151"/>
          <a:ext cx="13659757"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630936</xdr:colOff>
      <xdr:row>12</xdr:row>
      <xdr:rowOff>121103</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Forecast,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724851736108" createdVersion="8" refreshedVersion="8" minRefreshableVersion="3" recordCount="56" xr:uid="{37798327-6357-4CBF-AE0E-D3B4D26CDF24}">
  <cacheSource type="worksheet">
    <worksheetSource name="PDB"/>
  </cacheSource>
  <cacheFields count="12">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Router"/>
      </sharedItems>
    </cacheField>
    <cacheField name="Deployment" numFmtId="0">
      <sharedItems count="2">
        <s v="Service Provider"/>
        <s v="Enterprise"/>
      </sharedItems>
    </cacheField>
    <cacheField name="Product" numFmtId="0">
      <sharedItems count="4">
        <s v="High-End"/>
        <s v="Mid-Range"/>
        <s v="Low-End"/>
        <s v="SOHO"/>
      </sharedItems>
    </cacheField>
    <cacheField name="Connectivity" numFmtId="0">
      <sharedItems count="3">
        <s v="Core"/>
        <s v="Edge"/>
        <s v="N/A"/>
      </sharedItems>
    </cacheField>
    <cacheField name="Units" numFmtId="0">
      <sharedItems containsSemiMixedTypes="0" containsString="0" containsNumber="1" containsInteger="1" minValue="9635" maxValue="800044"/>
    </cacheField>
    <cacheField name="Vendor Revenue (CNY M)" numFmtId="0">
      <sharedItems containsSemiMixedTypes="0" containsString="0" containsNumber="1" minValue="619.80796078000003" maxValue="11145.33590754"/>
    </cacheField>
    <cacheField name="Value (CNY M)" numFmtId="0">
      <sharedItems containsSemiMixedTypes="0" containsString="0" containsNumber="1" minValue="621.15806367999994" maxValue="11259.85373802"/>
    </cacheField>
    <cacheField name="Vendor Revenue (USD M)" numFmtId="0">
      <sharedItems containsSemiMixedTypes="0" containsString="0" containsNumber="1" minValue="86.730863470000003" maxValue="1575.8543682800005"/>
    </cacheField>
    <cacheField name="Value (USD M)" numFmtId="0">
      <sharedItems containsSemiMixedTypes="0" containsString="0" containsNumber="1" minValue="86.921529349999986" maxValue="1592.0828188400001"/>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x v="0"/>
    <n v="41843"/>
    <n v="6665.9773901600011"/>
    <n v="6698.2750312500011"/>
    <n v="943.68443829"/>
    <n v="948.24854465999999"/>
    <x v="0"/>
  </r>
  <r>
    <x v="0"/>
    <x v="1"/>
    <x v="0"/>
    <x v="0"/>
    <x v="0"/>
    <x v="0"/>
    <n v="27590"/>
    <n v="5195.4760106200001"/>
    <n v="5223.4081288799998"/>
    <n v="722.67930889000002"/>
    <n v="726.56871797999997"/>
    <x v="0"/>
  </r>
  <r>
    <x v="0"/>
    <x v="0"/>
    <x v="0"/>
    <x v="0"/>
    <x v="0"/>
    <x v="1"/>
    <n v="67397"/>
    <n v="11145.33590754"/>
    <n v="11259.85373802"/>
    <n v="1575.8543682800005"/>
    <n v="1592.0828188400001"/>
    <x v="0"/>
  </r>
  <r>
    <x v="0"/>
    <x v="1"/>
    <x v="0"/>
    <x v="0"/>
    <x v="0"/>
    <x v="1"/>
    <n v="47508"/>
    <n v="8285.3365489799999"/>
    <n v="8392.8976141399999"/>
    <n v="1152.37744703"/>
    <n v="1167.33375559"/>
    <x v="0"/>
  </r>
  <r>
    <x v="0"/>
    <x v="0"/>
    <x v="0"/>
    <x v="0"/>
    <x v="1"/>
    <x v="1"/>
    <n v="15677"/>
    <n v="1221.7022677699999"/>
    <n v="1268.4132308700002"/>
    <n v="172.94084706999999"/>
    <n v="179.56125801999997"/>
    <x v="0"/>
  </r>
  <r>
    <x v="0"/>
    <x v="1"/>
    <x v="0"/>
    <x v="0"/>
    <x v="1"/>
    <x v="1"/>
    <n v="12704"/>
    <n v="1067.74222685"/>
    <n v="1118.1072431600001"/>
    <n v="148.47383737000001"/>
    <n v="155.47341453000001"/>
    <x v="0"/>
  </r>
  <r>
    <x v="0"/>
    <x v="0"/>
    <x v="0"/>
    <x v="0"/>
    <x v="2"/>
    <x v="1"/>
    <n v="41437"/>
    <n v="619.80796078000003"/>
    <n v="621.15806367999994"/>
    <n v="86.730863470000003"/>
    <n v="86.921529349999986"/>
    <x v="0"/>
  </r>
  <r>
    <x v="0"/>
    <x v="1"/>
    <x v="0"/>
    <x v="0"/>
    <x v="2"/>
    <x v="1"/>
    <n v="43161"/>
    <n v="978.37226552000004"/>
    <n v="979.69221228000004"/>
    <n v="136.08471030000001"/>
    <n v="136.2685381"/>
    <x v="0"/>
  </r>
  <r>
    <x v="0"/>
    <x v="0"/>
    <x v="0"/>
    <x v="1"/>
    <x v="0"/>
    <x v="2"/>
    <n v="10186"/>
    <n v="1615.45634526"/>
    <n v="1954.7021777799998"/>
    <n v="227.48264309000001"/>
    <n v="275.25399810000005"/>
    <x v="0"/>
  </r>
  <r>
    <x v="0"/>
    <x v="1"/>
    <x v="0"/>
    <x v="1"/>
    <x v="0"/>
    <x v="2"/>
    <n v="9635"/>
    <n v="1612.2609947399999"/>
    <n v="1950.8358036300001"/>
    <n v="224.07098149000001"/>
    <n v="271.1258876"/>
    <x v="0"/>
  </r>
  <r>
    <x v="0"/>
    <x v="0"/>
    <x v="0"/>
    <x v="1"/>
    <x v="1"/>
    <x v="2"/>
    <n v="15025"/>
    <n v="1004.5013486099998"/>
    <n v="1215.4466318099996"/>
    <n v="142.06838590000004"/>
    <n v="171.90274695000002"/>
    <x v="0"/>
  </r>
  <r>
    <x v="0"/>
    <x v="1"/>
    <x v="0"/>
    <x v="1"/>
    <x v="1"/>
    <x v="2"/>
    <n v="14778"/>
    <n v="997.43475209999997"/>
    <n v="1206.8960500400001"/>
    <n v="138.71821771"/>
    <n v="167.84904342999999"/>
    <x v="0"/>
  </r>
  <r>
    <x v="0"/>
    <x v="0"/>
    <x v="0"/>
    <x v="1"/>
    <x v="2"/>
    <x v="2"/>
    <n v="94435"/>
    <n v="1379.0555702599995"/>
    <n v="1668.6572399900001"/>
    <n v="193.86190998999999"/>
    <n v="234.57291106999998"/>
    <x v="0"/>
  </r>
  <r>
    <x v="0"/>
    <x v="1"/>
    <x v="0"/>
    <x v="1"/>
    <x v="2"/>
    <x v="2"/>
    <n v="92666"/>
    <n v="1220.96836186"/>
    <n v="1477.3717178500001"/>
    <n v="169.82787310000001"/>
    <n v="205.49172644999999"/>
    <x v="0"/>
  </r>
  <r>
    <x v="0"/>
    <x v="0"/>
    <x v="0"/>
    <x v="1"/>
    <x v="3"/>
    <x v="2"/>
    <n v="600080"/>
    <n v="1076.8706719000004"/>
    <n v="1303.0135130199994"/>
    <n v="152.13283876999998"/>
    <n v="184.08073494999994"/>
    <x v="0"/>
  </r>
  <r>
    <x v="0"/>
    <x v="1"/>
    <x v="0"/>
    <x v="1"/>
    <x v="3"/>
    <x v="2"/>
    <n v="565876"/>
    <n v="1027.18665457"/>
    <n v="1242.89585203"/>
    <n v="142.80160190999999"/>
    <n v="172.78993831"/>
    <x v="0"/>
  </r>
  <r>
    <x v="0"/>
    <x v="2"/>
    <x v="0"/>
    <x v="0"/>
    <x v="0"/>
    <x v="0"/>
    <n v="33266"/>
    <n v="5627.6818845799999"/>
    <n v="5647.3574045200003"/>
    <n v="777.13804072999994"/>
    <n v="779.85207757000001"/>
    <x v="0"/>
  </r>
  <r>
    <x v="0"/>
    <x v="3"/>
    <x v="0"/>
    <x v="0"/>
    <x v="0"/>
    <x v="0"/>
    <n v="40290"/>
    <n v="5951.7527561699999"/>
    <n v="5966.2217763600001"/>
    <n v="822.61067505999995"/>
    <n v="824.61048434999998"/>
    <x v="0"/>
  </r>
  <r>
    <x v="0"/>
    <x v="4"/>
    <x v="0"/>
    <x v="0"/>
    <x v="0"/>
    <x v="0"/>
    <n v="43065"/>
    <n v="6108.5765588300001"/>
    <n v="6123.4268258299999"/>
    <n v="844.28579151999998"/>
    <n v="846.33829415000002"/>
    <x v="0"/>
  </r>
  <r>
    <x v="0"/>
    <x v="5"/>
    <x v="0"/>
    <x v="0"/>
    <x v="0"/>
    <x v="0"/>
    <n v="48126"/>
    <n v="6222.2044025599998"/>
    <n v="6237.3309047499997"/>
    <n v="859.99065714000005"/>
    <n v="862.08133911000004"/>
    <x v="0"/>
  </r>
  <r>
    <x v="0"/>
    <x v="6"/>
    <x v="0"/>
    <x v="0"/>
    <x v="0"/>
    <x v="0"/>
    <n v="52986"/>
    <n v="6576.6680434099999"/>
    <n v="6592.6562651300001"/>
    <n v="908.98220414000002"/>
    <n v="911.19198711000001"/>
    <x v="0"/>
  </r>
  <r>
    <x v="0"/>
    <x v="2"/>
    <x v="0"/>
    <x v="0"/>
    <x v="0"/>
    <x v="1"/>
    <n v="57298"/>
    <n v="8867.9898759299995"/>
    <n v="8996.0439074400001"/>
    <n v="1224.3622714099999"/>
    <n v="1242.0413374899999"/>
    <x v="0"/>
  </r>
  <r>
    <x v="0"/>
    <x v="3"/>
    <x v="0"/>
    <x v="0"/>
    <x v="0"/>
    <x v="1"/>
    <n v="60209"/>
    <n v="8737.7077006899999"/>
    <n v="8862.29614133"/>
    <n v="1207.6663673"/>
    <n v="1224.8861318700001"/>
    <x v="0"/>
  </r>
  <r>
    <x v="0"/>
    <x v="4"/>
    <x v="0"/>
    <x v="0"/>
    <x v="0"/>
    <x v="1"/>
    <n v="59555"/>
    <n v="8933.1618393200006"/>
    <n v="9060.5372038599999"/>
    <n v="1234.6807053499999"/>
    <n v="1252.28565953"/>
    <x v="0"/>
  </r>
  <r>
    <x v="0"/>
    <x v="5"/>
    <x v="0"/>
    <x v="0"/>
    <x v="0"/>
    <x v="1"/>
    <n v="60852"/>
    <n v="9174.8441381699995"/>
    <n v="9305.6655805299997"/>
    <n v="1268.0843844200001"/>
    <n v="1286.1656319799999"/>
    <x v="0"/>
  </r>
  <r>
    <x v="0"/>
    <x v="6"/>
    <x v="0"/>
    <x v="0"/>
    <x v="0"/>
    <x v="1"/>
    <n v="59852"/>
    <n v="9353.7260946099996"/>
    <n v="9487.0981629100006"/>
    <n v="1292.8082284699999"/>
    <n v="1311.24200615"/>
    <x v="0"/>
  </r>
  <r>
    <x v="0"/>
    <x v="2"/>
    <x v="0"/>
    <x v="0"/>
    <x v="2"/>
    <x v="1"/>
    <n v="58160"/>
    <n v="934.95289154"/>
    <n v="936.76583567"/>
    <n v="129.05633420999999"/>
    <n v="129.30657091"/>
    <x v="0"/>
  </r>
  <r>
    <x v="0"/>
    <x v="3"/>
    <x v="0"/>
    <x v="0"/>
    <x v="2"/>
    <x v="1"/>
    <n v="76553"/>
    <n v="854.00154497000005"/>
    <n v="855.63017642"/>
    <n v="118.03426926"/>
    <n v="118.25936759"/>
    <x v="0"/>
  </r>
  <r>
    <x v="0"/>
    <x v="4"/>
    <x v="0"/>
    <x v="0"/>
    <x v="2"/>
    <x v="1"/>
    <n v="81156"/>
    <n v="882.38926914000001"/>
    <n v="884.07203765999998"/>
    <n v="121.95782689000001"/>
    <n v="122.19040768000001"/>
    <x v="0"/>
  </r>
  <r>
    <x v="0"/>
    <x v="5"/>
    <x v="0"/>
    <x v="0"/>
    <x v="2"/>
    <x v="1"/>
    <n v="91932"/>
    <n v="968.87714191999999"/>
    <n v="970.72484793000001"/>
    <n v="133.91159081999999"/>
    <n v="134.16696815"/>
    <x v="0"/>
  </r>
  <r>
    <x v="0"/>
    <x v="6"/>
    <x v="0"/>
    <x v="0"/>
    <x v="2"/>
    <x v="1"/>
    <n v="99654"/>
    <n v="1018.03391077"/>
    <n v="1019.97536164"/>
    <n v="140.70570416000001"/>
    <n v="140.97403825999999"/>
    <x v="0"/>
  </r>
  <r>
    <x v="0"/>
    <x v="2"/>
    <x v="0"/>
    <x v="0"/>
    <x v="1"/>
    <x v="1"/>
    <n v="13472"/>
    <n v="967.33678476"/>
    <n v="997.65344568"/>
    <n v="133.55041750000001"/>
    <n v="137.73626809000001"/>
    <x v="0"/>
  </r>
  <r>
    <x v="0"/>
    <x v="3"/>
    <x v="0"/>
    <x v="0"/>
    <x v="1"/>
    <x v="1"/>
    <n v="15876"/>
    <n v="995.56580934999999"/>
    <n v="1027.5055337599999"/>
    <n v="137.60031642000001"/>
    <n v="142.0148073"/>
    <x v="0"/>
  </r>
  <r>
    <x v="0"/>
    <x v="4"/>
    <x v="0"/>
    <x v="0"/>
    <x v="1"/>
    <x v="1"/>
    <n v="16489"/>
    <n v="1018.33701332"/>
    <n v="1051.00728308"/>
    <n v="140.74759692999999"/>
    <n v="145.26305880999999"/>
    <x v="0"/>
  </r>
  <r>
    <x v="0"/>
    <x v="5"/>
    <x v="0"/>
    <x v="0"/>
    <x v="1"/>
    <x v="1"/>
    <n v="17181"/>
    <n v="1043.78669369"/>
    <n v="1077.2734396400001"/>
    <n v="144.26507819"/>
    <n v="148.89338782999999"/>
    <x v="0"/>
  </r>
  <r>
    <x v="0"/>
    <x v="6"/>
    <x v="0"/>
    <x v="0"/>
    <x v="1"/>
    <x v="1"/>
    <n v="17828"/>
    <n v="1065.3693368500001"/>
    <n v="1099.5484967699999"/>
    <n v="147.24808393000001"/>
    <n v="151.97209430999999"/>
    <x v="0"/>
  </r>
  <r>
    <x v="0"/>
    <x v="2"/>
    <x v="0"/>
    <x v="1"/>
    <x v="0"/>
    <x v="2"/>
    <n v="10404"/>
    <n v="1678.1547091100001"/>
    <n v="2030.56719802"/>
    <n v="231.77549837000001"/>
    <n v="280.44835303000002"/>
    <x v="0"/>
  </r>
  <r>
    <x v="0"/>
    <x v="3"/>
    <x v="0"/>
    <x v="1"/>
    <x v="0"/>
    <x v="2"/>
    <n v="11619"/>
    <n v="1795.7805741300001"/>
    <n v="2172.8944946900001"/>
    <n v="248.20054375000001"/>
    <n v="300.32265794"/>
    <x v="0"/>
  </r>
  <r>
    <x v="0"/>
    <x v="4"/>
    <x v="0"/>
    <x v="1"/>
    <x v="0"/>
    <x v="2"/>
    <n v="12361"/>
    <n v="1870.77177265"/>
    <n v="2263.6338449099999"/>
    <n v="258.56531576999998"/>
    <n v="312.86403208000002"/>
    <x v="0"/>
  </r>
  <r>
    <x v="0"/>
    <x v="5"/>
    <x v="0"/>
    <x v="1"/>
    <x v="0"/>
    <x v="2"/>
    <n v="13430"/>
    <n v="1969.84312731"/>
    <n v="2383.5101840399998"/>
    <n v="272.25828274000003"/>
    <n v="329.43252211999999"/>
    <x v="0"/>
  </r>
  <r>
    <x v="0"/>
    <x v="6"/>
    <x v="0"/>
    <x v="1"/>
    <x v="0"/>
    <x v="2"/>
    <n v="15074"/>
    <n v="2069.2592098499999"/>
    <n v="2503.80364392"/>
    <n v="285.99889566000002"/>
    <n v="346.05866373999999"/>
    <x v="0"/>
  </r>
  <r>
    <x v="0"/>
    <x v="2"/>
    <x v="0"/>
    <x v="1"/>
    <x v="2"/>
    <x v="2"/>
    <n v="82758"/>
    <n v="1334.7288770600001"/>
    <n v="1615.0219412399999"/>
    <n v="184.31678872000001"/>
    <n v="223.02331434999999"/>
    <x v="0"/>
  </r>
  <r>
    <x v="0"/>
    <x v="3"/>
    <x v="0"/>
    <x v="1"/>
    <x v="2"/>
    <x v="2"/>
    <n v="93601"/>
    <n v="1442.81307434"/>
    <n v="1745.8038199499999"/>
    <n v="199.41578315999999"/>
    <n v="241.29309763000001"/>
    <x v="0"/>
  </r>
  <r>
    <x v="0"/>
    <x v="4"/>
    <x v="0"/>
    <x v="1"/>
    <x v="2"/>
    <x v="2"/>
    <n v="109345"/>
    <n v="1608.7833079100001"/>
    <n v="1946.6278025700001"/>
    <n v="222.35505692999999"/>
    <n v="269.04961888999998"/>
    <x v="0"/>
  </r>
  <r>
    <x v="0"/>
    <x v="5"/>
    <x v="0"/>
    <x v="1"/>
    <x v="2"/>
    <x v="2"/>
    <n v="120523"/>
    <n v="1710.16241627"/>
    <n v="2069.2965236800001"/>
    <n v="236.36698587999999"/>
    <n v="286.00405291999999"/>
    <x v="0"/>
  </r>
  <r>
    <x v="0"/>
    <x v="6"/>
    <x v="0"/>
    <x v="1"/>
    <x v="2"/>
    <x v="2"/>
    <n v="132534"/>
    <n v="1795.2396057000001"/>
    <n v="2172.2399228999998"/>
    <n v="248.12577478"/>
    <n v="300.23218749"/>
    <x v="0"/>
  </r>
  <r>
    <x v="0"/>
    <x v="2"/>
    <x v="0"/>
    <x v="1"/>
    <x v="1"/>
    <x v="2"/>
    <n v="17762"/>
    <n v="1012.25862556"/>
    <n v="1224.8329369200001"/>
    <n v="139.79512258"/>
    <n v="169.15209831999999"/>
    <x v="0"/>
  </r>
  <r>
    <x v="0"/>
    <x v="3"/>
    <x v="0"/>
    <x v="1"/>
    <x v="1"/>
    <x v="2"/>
    <n v="20171"/>
    <n v="1052.17516937"/>
    <n v="1273.13195494"/>
    <n v="145.42447609000001"/>
    <n v="175.96361605999999"/>
    <x v="0"/>
  </r>
  <r>
    <x v="0"/>
    <x v="4"/>
    <x v="0"/>
    <x v="1"/>
    <x v="1"/>
    <x v="2"/>
    <n v="21197"/>
    <n v="1106.4517893300001"/>
    <n v="1338.80666509"/>
    <n v="152.92622033000001"/>
    <n v="185.0407266"/>
    <x v="0"/>
  </r>
  <r>
    <x v="0"/>
    <x v="5"/>
    <x v="0"/>
    <x v="1"/>
    <x v="1"/>
    <x v="2"/>
    <n v="22932"/>
    <n v="1173.55509209"/>
    <n v="1420.00166143"/>
    <n v="162.20078118999999"/>
    <n v="196.26294523999999"/>
    <x v="0"/>
  </r>
  <r>
    <x v="0"/>
    <x v="6"/>
    <x v="0"/>
    <x v="1"/>
    <x v="1"/>
    <x v="2"/>
    <n v="23974"/>
    <n v="1226.4114156099999"/>
    <n v="1483.95781289"/>
    <n v="169.50622175000001"/>
    <n v="205.10252832"/>
    <x v="0"/>
  </r>
  <r>
    <x v="0"/>
    <x v="2"/>
    <x v="0"/>
    <x v="1"/>
    <x v="3"/>
    <x v="2"/>
    <n v="569161"/>
    <n v="975.72065769999995"/>
    <n v="1180.62199581"/>
    <n v="134.75964615999999"/>
    <n v="163.05917185000001"/>
    <x v="0"/>
  </r>
  <r>
    <x v="0"/>
    <x v="3"/>
    <x v="0"/>
    <x v="1"/>
    <x v="3"/>
    <x v="2"/>
    <n v="620488"/>
    <n v="1028.2002369100001"/>
    <n v="1244.1222866600001"/>
    <n v="142.11082443000001"/>
    <n v="171.95409756000001"/>
    <x v="0"/>
  </r>
  <r>
    <x v="0"/>
    <x v="4"/>
    <x v="0"/>
    <x v="1"/>
    <x v="3"/>
    <x v="2"/>
    <n v="646207"/>
    <n v="1059.5807923100001"/>
    <n v="1282.09275869"/>
    <n v="146.44803078000001"/>
    <n v="177.20211724000001"/>
    <x v="0"/>
  </r>
  <r>
    <x v="0"/>
    <x v="5"/>
    <x v="0"/>
    <x v="1"/>
    <x v="3"/>
    <x v="2"/>
    <n v="696571"/>
    <n v="1107.0318993200001"/>
    <n v="1339.50859818"/>
    <n v="153.00639917999999"/>
    <n v="185.137743"/>
    <x v="0"/>
  </r>
  <r>
    <x v="0"/>
    <x v="6"/>
    <x v="0"/>
    <x v="1"/>
    <x v="3"/>
    <x v="2"/>
    <n v="800044"/>
    <n v="1141.60765206"/>
    <n v="1381.3452589999999"/>
    <n v="157.78522391000001"/>
    <n v="190.9201209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D5D44-46EA-4089-A6F9-A7DE84BE0AC7}" name="PivotTable4" cacheId="1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K34" firstHeaderRow="1" firstDataRow="2" firstDataCol="3" rowPageCount="3" colPageCount="1"/>
  <pivotFields count="12">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items count="3">
        <item x="1"/>
        <item x="0"/>
        <item t="default"/>
      </items>
    </pivotField>
    <pivotField axis="axisRow" compact="0" outline="0" showAll="0" defaultSubtotal="0">
      <items count="4">
        <item x="0"/>
        <item x="1"/>
        <item x="2"/>
        <item x="3"/>
      </items>
    </pivotField>
    <pivotField axis="axisRow" compact="0" outline="0" subtotalTop="0" showAll="0" defaultSubtotal="0">
      <items count="3">
        <item x="0"/>
        <item x="1"/>
        <item x="2"/>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3">
    <field x="3"/>
    <field x="4"/>
    <field x="5"/>
  </rowFields>
  <rowItems count="11">
    <i>
      <x/>
      <x/>
      <x v="2"/>
    </i>
    <i r="1">
      <x v="1"/>
      <x v="2"/>
    </i>
    <i r="1">
      <x v="2"/>
      <x v="2"/>
    </i>
    <i r="1">
      <x v="3"/>
      <x v="2"/>
    </i>
    <i t="default">
      <x/>
    </i>
    <i>
      <x v="1"/>
      <x/>
      <x/>
    </i>
    <i r="2">
      <x v="1"/>
    </i>
    <i r="1">
      <x v="1"/>
      <x v="1"/>
    </i>
    <i r="1">
      <x v="2"/>
      <x v="1"/>
    </i>
    <i t="default">
      <x v="1"/>
    </i>
    <i t="grand">
      <x/>
    </i>
  </rowItems>
  <colFields count="1">
    <field x="1"/>
  </colFields>
  <colItems count="7">
    <i>
      <x/>
    </i>
    <i>
      <x v="1"/>
    </i>
    <i>
      <x v="2"/>
    </i>
    <i>
      <x v="3"/>
    </i>
    <i>
      <x v="4"/>
    </i>
    <i>
      <x v="5"/>
    </i>
    <i>
      <x v="6"/>
    </i>
  </colItems>
  <pageFields count="3">
    <pageField fld="0" item="0" hier="-1"/>
    <pageField fld="2" item="0" hier="-1"/>
    <pageField fld="11" item="0" hier="-1"/>
  </pageFields>
  <dataFields count="1">
    <dataField name="Sum of Vendor Revenue (CNY M)" fld="7"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field="4" type="button" dataOnly="0" labelOnly="1" outline="0" axis="axisRow" fieldPosition="1"/>
    </format>
    <format dxfId="15">
      <pivotArea dataOnly="0" labelOnly="1" outline="0" fieldPosition="0">
        <references count="1">
          <reference field="4" count="0"/>
        </references>
      </pivotArea>
    </format>
    <format dxfId="14">
      <pivotArea dataOnly="0" labelOnly="1" grandRow="1" outline="0"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type="topRight" dataOnly="0" labelOnly="1" outline="0" fieldPosition="0"/>
    </format>
    <format dxfId="9">
      <pivotArea field="4" type="button" dataOnly="0" labelOnly="1" outline="0" axis="axisRow" fieldPosition="1"/>
    </format>
    <format dxfId="8">
      <pivotArea dataOnly="0" labelOnly="1" outline="0" fieldPosition="0">
        <references count="1">
          <reference field="4" count="0"/>
        </references>
      </pivotArea>
    </format>
    <format dxfId="7">
      <pivotArea dataOnly="0" labelOnly="1" grandRow="1" outline="0" fieldPosition="0"/>
    </format>
    <format dxfId="6">
      <pivotArea type="all" dataOnly="0" outline="0" fieldPosition="0"/>
    </format>
    <format dxfId="5">
      <pivotArea outline="0" collapsedLevelsAreSubtotals="1" fieldPosition="0"/>
    </format>
    <format dxfId="4">
      <pivotArea type="origin" dataOnly="0" labelOnly="1" outline="0" fieldPosition="0"/>
    </format>
    <format dxfId="3">
      <pivotArea type="topRight" dataOnly="0" labelOnly="1" outline="0" fieldPosition="0"/>
    </format>
    <format dxfId="2">
      <pivotArea field="4" type="button" dataOnly="0" labelOnly="1" outline="0" axis="axisRow" fieldPosition="1"/>
    </format>
    <format dxfId="1">
      <pivotArea dataOnly="0" labelOnly="1" outline="0" fieldPosition="0">
        <references count="1">
          <reference field="4" count="0"/>
        </references>
      </pivotArea>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A7" zoomScale="70" zoomScaleNormal="70" workbookViewId="0">
      <selection activeCell="Y25" sqref="Y25"/>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12</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11</v>
      </c>
      <c r="C43" s="13" t="s">
        <v>4</v>
      </c>
      <c r="D43" s="13" t="s">
        <v>5</v>
      </c>
      <c r="E43" s="13" t="s">
        <v>6</v>
      </c>
      <c r="F43" s="13" t="s">
        <v>7</v>
      </c>
      <c r="G43" s="13" t="s">
        <v>8</v>
      </c>
      <c r="H43" s="13" t="s">
        <v>9</v>
      </c>
      <c r="I43" s="13" t="s">
        <v>1</v>
      </c>
      <c r="J43" s="13" t="s">
        <v>13</v>
      </c>
      <c r="K43" s="13" t="s">
        <v>14</v>
      </c>
      <c r="L43" s="13" t="s">
        <v>15</v>
      </c>
      <c r="M43" s="13" t="s">
        <v>16</v>
      </c>
      <c r="N43" s="13" t="s">
        <v>17</v>
      </c>
      <c r="O43" s="13" t="s">
        <v>18</v>
      </c>
      <c r="P43" s="13" t="s">
        <v>19</v>
      </c>
      <c r="Q43" s="13" t="s">
        <v>20</v>
      </c>
      <c r="R43" s="13" t="s">
        <v>21</v>
      </c>
      <c r="S43" s="13" t="s">
        <v>22</v>
      </c>
      <c r="T43" s="13" t="s">
        <v>23</v>
      </c>
      <c r="U43" s="13" t="s">
        <v>24</v>
      </c>
      <c r="V43" s="13" t="s">
        <v>25</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abSelected="1" zoomScaleNormal="100" workbookViewId="0">
      <selection activeCell="M21" sqref="M21"/>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c r="N18"/>
    </row>
    <row r="19" spans="2:27" ht="18">
      <c r="B19" s="17" t="s">
        <v>26</v>
      </c>
      <c r="C19" s="15" t="s">
        <v>27</v>
      </c>
      <c r="D19" s="15"/>
      <c r="E19" s="15"/>
      <c r="F19" s="15"/>
      <c r="G19" s="15"/>
      <c r="H19" s="15"/>
      <c r="I19" s="15"/>
      <c r="J19" s="16"/>
      <c r="K19" s="16"/>
      <c r="L19" s="16"/>
      <c r="M19" s="5"/>
      <c r="N19"/>
      <c r="O19"/>
    </row>
    <row r="20" spans="2:27" ht="18">
      <c r="B20" s="17" t="s">
        <v>43</v>
      </c>
      <c r="C20" s="15" t="s">
        <v>25</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4.5">
      <c r="B22" s="17" t="s">
        <v>29</v>
      </c>
      <c r="C22" s="15"/>
      <c r="D22" s="15"/>
      <c r="E22" s="17" t="s">
        <v>0</v>
      </c>
      <c r="F22" s="15"/>
      <c r="G22" s="15"/>
      <c r="H22" s="15"/>
      <c r="I22" s="15"/>
      <c r="J22" s="15"/>
      <c r="K22" s="15"/>
      <c r="L22"/>
      <c r="M22" s="4"/>
      <c r="N22" s="4"/>
      <c r="O22" s="4"/>
      <c r="P22" s="4"/>
      <c r="Q22"/>
      <c r="R22"/>
      <c r="S22"/>
      <c r="T22"/>
      <c r="U22" s="4"/>
      <c r="V22" s="4"/>
    </row>
    <row r="23" spans="2:27" ht="14.5">
      <c r="B23" s="17" t="s">
        <v>28</v>
      </c>
      <c r="C23" s="17" t="s">
        <v>31</v>
      </c>
      <c r="D23" s="17" t="s">
        <v>44</v>
      </c>
      <c r="E23" s="15">
        <v>2023</v>
      </c>
      <c r="F23" s="15">
        <v>2024</v>
      </c>
      <c r="G23" s="15">
        <v>2025</v>
      </c>
      <c r="H23" s="15">
        <v>2026</v>
      </c>
      <c r="I23" s="15">
        <v>2027</v>
      </c>
      <c r="J23" s="15">
        <v>2028</v>
      </c>
      <c r="K23" s="15">
        <v>2029</v>
      </c>
      <c r="L23"/>
      <c r="M23" s="4"/>
      <c r="N23" s="4"/>
      <c r="O23" s="4"/>
      <c r="P23" s="4"/>
      <c r="Q23"/>
      <c r="R23"/>
      <c r="S23"/>
      <c r="T23"/>
      <c r="U23" s="4"/>
      <c r="V23" s="4"/>
    </row>
    <row r="24" spans="2:27" ht="14.5">
      <c r="B24" s="15" t="s">
        <v>32</v>
      </c>
      <c r="C24" s="15" t="s">
        <v>33</v>
      </c>
      <c r="D24" s="15" t="s">
        <v>45</v>
      </c>
      <c r="E24" s="18">
        <v>1615.45634526</v>
      </c>
      <c r="F24" s="18">
        <v>1612.2609947399999</v>
      </c>
      <c r="G24" s="18">
        <v>1678.1547091100001</v>
      </c>
      <c r="H24" s="18">
        <v>1795.7805741300001</v>
      </c>
      <c r="I24" s="18">
        <v>1870.77177265</v>
      </c>
      <c r="J24" s="18">
        <v>1969.84312731</v>
      </c>
      <c r="K24" s="18">
        <v>2069.2592098499999</v>
      </c>
      <c r="L24"/>
      <c r="M24"/>
      <c r="N24"/>
      <c r="O24"/>
      <c r="P24"/>
      <c r="Q24"/>
      <c r="R24"/>
      <c r="S24"/>
      <c r="T24"/>
      <c r="U24"/>
      <c r="V24"/>
      <c r="W24"/>
      <c r="X24"/>
      <c r="Y24"/>
    </row>
    <row r="25" spans="2:27" ht="14.5">
      <c r="B25" s="15"/>
      <c r="C25" s="15" t="s">
        <v>34</v>
      </c>
      <c r="D25" s="15" t="s">
        <v>45</v>
      </c>
      <c r="E25" s="18">
        <v>1004.5013486099998</v>
      </c>
      <c r="F25" s="18">
        <v>997.43475209999997</v>
      </c>
      <c r="G25" s="18">
        <v>1012.25862556</v>
      </c>
      <c r="H25" s="18">
        <v>1052.17516937</v>
      </c>
      <c r="I25" s="18">
        <v>1106.4517893300001</v>
      </c>
      <c r="J25" s="18">
        <v>1173.55509209</v>
      </c>
      <c r="K25" s="18">
        <v>1226.4114156099999</v>
      </c>
      <c r="L25"/>
      <c r="M25"/>
      <c r="N25"/>
      <c r="O25"/>
      <c r="P25"/>
      <c r="Q25"/>
      <c r="R25"/>
      <c r="S25"/>
      <c r="T25"/>
      <c r="U25"/>
      <c r="V25"/>
      <c r="W25"/>
      <c r="X25"/>
      <c r="Y25"/>
    </row>
    <row r="26" spans="2:27" ht="14.5">
      <c r="B26" s="15"/>
      <c r="C26" s="15" t="s">
        <v>35</v>
      </c>
      <c r="D26" s="15" t="s">
        <v>45</v>
      </c>
      <c r="E26" s="18">
        <v>1379.0555702599995</v>
      </c>
      <c r="F26" s="18">
        <v>1220.96836186</v>
      </c>
      <c r="G26" s="18">
        <v>1334.7288770600001</v>
      </c>
      <c r="H26" s="18">
        <v>1442.81307434</v>
      </c>
      <c r="I26" s="18">
        <v>1608.7833079100001</v>
      </c>
      <c r="J26" s="18">
        <v>1710.16241627</v>
      </c>
      <c r="K26" s="18">
        <v>1795.2396057000001</v>
      </c>
      <c r="L26"/>
      <c r="M26"/>
      <c r="N26"/>
      <c r="O26"/>
      <c r="P26"/>
      <c r="Q26"/>
      <c r="R26"/>
      <c r="S26"/>
      <c r="T26"/>
      <c r="U26"/>
      <c r="V26"/>
      <c r="W26"/>
      <c r="X26"/>
      <c r="Y26"/>
    </row>
    <row r="27" spans="2:27" ht="14.5">
      <c r="B27" s="15"/>
      <c r="C27" s="15" t="s">
        <v>36</v>
      </c>
      <c r="D27" s="15" t="s">
        <v>45</v>
      </c>
      <c r="E27" s="18">
        <v>1076.8706719000004</v>
      </c>
      <c r="F27" s="18">
        <v>1027.18665457</v>
      </c>
      <c r="G27" s="18">
        <v>975.72065769999995</v>
      </c>
      <c r="H27" s="18">
        <v>1028.2002369100001</v>
      </c>
      <c r="I27" s="18">
        <v>1059.5807923100001</v>
      </c>
      <c r="J27" s="18">
        <v>1107.0318993200001</v>
      </c>
      <c r="K27" s="18">
        <v>1141.60765206</v>
      </c>
      <c r="L27"/>
      <c r="M27"/>
      <c r="N27"/>
      <c r="O27"/>
      <c r="P27"/>
      <c r="Q27"/>
      <c r="R27"/>
      <c r="S27"/>
      <c r="T27"/>
      <c r="U27"/>
      <c r="V27"/>
      <c r="W27"/>
      <c r="X27"/>
      <c r="Y27"/>
      <c r="Z27"/>
      <c r="AA27"/>
    </row>
    <row r="28" spans="2:27" ht="14.5">
      <c r="B28" s="15" t="s">
        <v>38</v>
      </c>
      <c r="C28" s="15"/>
      <c r="D28" s="15"/>
      <c r="E28" s="18">
        <v>5075.8839360299999</v>
      </c>
      <c r="F28" s="18">
        <v>4857.8507632700002</v>
      </c>
      <c r="G28" s="18">
        <v>5000.8628694299996</v>
      </c>
      <c r="H28" s="18">
        <v>5318.9690547500004</v>
      </c>
      <c r="I28" s="18">
        <v>5645.5876622000005</v>
      </c>
      <c r="J28" s="18">
        <v>5960.5925349899999</v>
      </c>
      <c r="K28" s="18">
        <v>6232.5178832199999</v>
      </c>
      <c r="L28"/>
      <c r="M28"/>
      <c r="N28"/>
      <c r="O28"/>
      <c r="P28"/>
      <c r="Q28"/>
      <c r="R28"/>
      <c r="S28"/>
      <c r="T28"/>
      <c r="U28"/>
      <c r="V28"/>
      <c r="W28"/>
      <c r="X28"/>
      <c r="Y28"/>
      <c r="Z28"/>
      <c r="AA28"/>
    </row>
    <row r="29" spans="2:27" ht="14.5">
      <c r="B29" s="15" t="s">
        <v>37</v>
      </c>
      <c r="C29" s="15" t="s">
        <v>33</v>
      </c>
      <c r="D29" s="15" t="s">
        <v>46</v>
      </c>
      <c r="E29" s="18">
        <v>6665.9773901600011</v>
      </c>
      <c r="F29" s="18">
        <v>5195.4760106200001</v>
      </c>
      <c r="G29" s="18">
        <v>5627.6818845799999</v>
      </c>
      <c r="H29" s="18">
        <v>5951.7527561699999</v>
      </c>
      <c r="I29" s="18">
        <v>6108.5765588300001</v>
      </c>
      <c r="J29" s="18">
        <v>6222.2044025599998</v>
      </c>
      <c r="K29" s="18">
        <v>6576.6680434099999</v>
      </c>
      <c r="L29"/>
      <c r="M29"/>
      <c r="N29"/>
      <c r="O29"/>
      <c r="P29"/>
      <c r="Q29"/>
      <c r="R29"/>
      <c r="S29"/>
      <c r="T29"/>
      <c r="U29"/>
      <c r="V29"/>
      <c r="W29"/>
      <c r="X29"/>
      <c r="Y29"/>
      <c r="Z29"/>
      <c r="AA29"/>
    </row>
    <row r="30" spans="2:27" ht="14.5">
      <c r="B30" s="15"/>
      <c r="C30" s="15"/>
      <c r="D30" s="15" t="s">
        <v>47</v>
      </c>
      <c r="E30" s="18">
        <v>11145.33590754</v>
      </c>
      <c r="F30" s="18">
        <v>8285.3365489799999</v>
      </c>
      <c r="G30" s="18">
        <v>8867.9898759299995</v>
      </c>
      <c r="H30" s="18">
        <v>8737.7077006899999</v>
      </c>
      <c r="I30" s="18">
        <v>8933.1618393200006</v>
      </c>
      <c r="J30" s="18">
        <v>9174.8441381699995</v>
      </c>
      <c r="K30" s="18">
        <v>9353.7260946099996</v>
      </c>
      <c r="L30"/>
      <c r="M30"/>
      <c r="N30"/>
      <c r="O30"/>
      <c r="P30"/>
      <c r="Q30"/>
      <c r="R30"/>
      <c r="S30"/>
      <c r="T30"/>
      <c r="U30"/>
      <c r="V30"/>
      <c r="W30"/>
      <c r="X30"/>
      <c r="Y30"/>
      <c r="Z30"/>
      <c r="AA30"/>
    </row>
    <row r="31" spans="2:27" ht="14.5">
      <c r="B31" s="15"/>
      <c r="C31" s="15" t="s">
        <v>34</v>
      </c>
      <c r="D31" s="15" t="s">
        <v>47</v>
      </c>
      <c r="E31" s="18">
        <v>1221.7022677699999</v>
      </c>
      <c r="F31" s="18">
        <v>1067.74222685</v>
      </c>
      <c r="G31" s="18">
        <v>967.33678476</v>
      </c>
      <c r="H31" s="18">
        <v>995.56580934999999</v>
      </c>
      <c r="I31" s="18">
        <v>1018.33701332</v>
      </c>
      <c r="J31" s="18">
        <v>1043.78669369</v>
      </c>
      <c r="K31" s="18">
        <v>1065.3693368500001</v>
      </c>
      <c r="L31"/>
      <c r="M31"/>
      <c r="N31"/>
      <c r="O31"/>
      <c r="P31"/>
      <c r="Q31"/>
      <c r="R31"/>
      <c r="S31"/>
      <c r="T31"/>
      <c r="U31"/>
      <c r="V31"/>
      <c r="W31"/>
      <c r="X31"/>
      <c r="Y31"/>
      <c r="Z31"/>
      <c r="AA31"/>
    </row>
    <row r="32" spans="2:27" ht="14.5">
      <c r="B32" s="15"/>
      <c r="C32" s="15" t="s">
        <v>35</v>
      </c>
      <c r="D32" s="15" t="s">
        <v>47</v>
      </c>
      <c r="E32" s="18">
        <v>619.80796078000003</v>
      </c>
      <c r="F32" s="18">
        <v>978.37226552000004</v>
      </c>
      <c r="G32" s="18">
        <v>934.95289154</v>
      </c>
      <c r="H32" s="18">
        <v>854.00154497000005</v>
      </c>
      <c r="I32" s="18">
        <v>882.38926914000001</v>
      </c>
      <c r="J32" s="18">
        <v>968.87714191999999</v>
      </c>
      <c r="K32" s="18">
        <v>1018.03391077</v>
      </c>
      <c r="L32"/>
      <c r="M32"/>
      <c r="N32"/>
      <c r="O32"/>
      <c r="P32"/>
      <c r="Q32"/>
      <c r="R32"/>
      <c r="S32"/>
      <c r="T32"/>
      <c r="U32"/>
      <c r="V32"/>
      <c r="W32"/>
      <c r="X32"/>
      <c r="Y32"/>
      <c r="Z32"/>
      <c r="AA32"/>
    </row>
    <row r="33" spans="2:27" ht="14.5">
      <c r="B33" s="15" t="s">
        <v>39</v>
      </c>
      <c r="C33" s="15"/>
      <c r="D33" s="15"/>
      <c r="E33" s="18">
        <v>19652.823526250002</v>
      </c>
      <c r="F33" s="18">
        <v>15526.927051969999</v>
      </c>
      <c r="G33" s="18">
        <v>16397.961436809997</v>
      </c>
      <c r="H33" s="18">
        <v>16539.02781118</v>
      </c>
      <c r="I33" s="18">
        <v>16942.464680610003</v>
      </c>
      <c r="J33" s="18">
        <v>17409.712376339998</v>
      </c>
      <c r="K33" s="18">
        <v>18013.797385639999</v>
      </c>
      <c r="L33"/>
      <c r="M33"/>
      <c r="N33"/>
      <c r="O33"/>
      <c r="P33"/>
      <c r="Q33"/>
      <c r="R33"/>
      <c r="S33"/>
      <c r="T33"/>
      <c r="U33"/>
      <c r="V33"/>
      <c r="W33"/>
      <c r="X33"/>
      <c r="Y33"/>
      <c r="Z33"/>
      <c r="AA33"/>
    </row>
    <row r="34" spans="2:27" ht="14.5">
      <c r="B34" s="15" t="s">
        <v>30</v>
      </c>
      <c r="C34" s="15"/>
      <c r="D34" s="15"/>
      <c r="E34" s="18">
        <v>24728.707462280003</v>
      </c>
      <c r="F34" s="18">
        <v>20384.777815240002</v>
      </c>
      <c r="G34" s="18">
        <v>21398.824306239996</v>
      </c>
      <c r="H34" s="18">
        <v>21857.996865929999</v>
      </c>
      <c r="I34" s="18">
        <v>22588.052342810002</v>
      </c>
      <c r="J34" s="18">
        <v>23370.304911329997</v>
      </c>
      <c r="K34" s="18">
        <v>24246.315268859998</v>
      </c>
      <c r="L34"/>
      <c r="M34"/>
      <c r="N34"/>
      <c r="O34"/>
      <c r="P34"/>
      <c r="Q34"/>
      <c r="R34"/>
      <c r="S34"/>
      <c r="T34"/>
      <c r="U34"/>
      <c r="V34"/>
      <c r="W34"/>
      <c r="X34"/>
      <c r="Y34"/>
      <c r="Z34"/>
      <c r="AA34"/>
    </row>
    <row r="35" spans="2:27" ht="14.5">
      <c r="B35"/>
      <c r="C35"/>
      <c r="D35"/>
      <c r="E35"/>
      <c r="F35"/>
      <c r="G35"/>
      <c r="H35"/>
      <c r="I35"/>
      <c r="J35"/>
      <c r="K35"/>
      <c r="L35"/>
      <c r="M35"/>
      <c r="N35"/>
      <c r="O35"/>
      <c r="P35"/>
      <c r="Q35"/>
      <c r="R35"/>
      <c r="S35"/>
      <c r="T35"/>
      <c r="U35"/>
      <c r="V35"/>
      <c r="W35"/>
      <c r="X35"/>
      <c r="Y35"/>
      <c r="Z35"/>
      <c r="AA35"/>
    </row>
    <row r="36" spans="2:27" ht="14.5">
      <c r="B36"/>
      <c r="C36"/>
      <c r="D36"/>
      <c r="E36"/>
      <c r="F36"/>
      <c r="G36"/>
      <c r="H36"/>
      <c r="I36"/>
      <c r="J36"/>
      <c r="K36"/>
      <c r="L36"/>
      <c r="M36"/>
      <c r="N36"/>
      <c r="O36"/>
      <c r="P36"/>
      <c r="Q36"/>
      <c r="R36"/>
      <c r="S36"/>
      <c r="T36"/>
      <c r="U36"/>
      <c r="V36"/>
      <c r="W36"/>
      <c r="X36"/>
      <c r="Y36"/>
      <c r="Z36"/>
      <c r="AA36"/>
    </row>
    <row r="37" spans="2:27" ht="14.5">
      <c r="B37"/>
      <c r="C37"/>
      <c r="D37"/>
      <c r="E37"/>
      <c r="F37"/>
      <c r="G37"/>
      <c r="H37"/>
      <c r="I37"/>
      <c r="J37"/>
      <c r="K37"/>
      <c r="L37"/>
      <c r="M37"/>
      <c r="N37"/>
      <c r="O37"/>
      <c r="P37"/>
      <c r="Q37"/>
      <c r="R37"/>
      <c r="S37"/>
      <c r="T37"/>
      <c r="U37"/>
      <c r="V37"/>
      <c r="W37"/>
      <c r="X37"/>
      <c r="Y37"/>
      <c r="Z37"/>
      <c r="AA37"/>
    </row>
    <row r="38" spans="2:27" ht="14.5">
      <c r="B38"/>
      <c r="C38"/>
      <c r="D38"/>
      <c r="E38"/>
      <c r="F38"/>
      <c r="G38"/>
      <c r="H38"/>
      <c r="I38"/>
      <c r="J38"/>
      <c r="K38"/>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c r="C43"/>
      <c r="D43"/>
      <c r="E43"/>
      <c r="F43"/>
      <c r="G43"/>
      <c r="H43"/>
      <c r="I43"/>
      <c r="J43"/>
      <c r="K43"/>
      <c r="L43"/>
      <c r="M43"/>
      <c r="N43"/>
      <c r="O43"/>
      <c r="P43"/>
      <c r="Q43"/>
      <c r="R43"/>
      <c r="S43"/>
      <c r="T43"/>
      <c r="U43"/>
      <c r="V43"/>
      <c r="W43"/>
      <c r="X43"/>
      <c r="Y43"/>
      <c r="Z43"/>
      <c r="AA43"/>
    </row>
    <row r="44" spans="2:27" ht="14.5">
      <c r="B44"/>
      <c r="C44"/>
      <c r="D44"/>
      <c r="E44"/>
      <c r="F44"/>
      <c r="G44"/>
      <c r="H44"/>
      <c r="I44"/>
      <c r="J44"/>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12" sqref="A12"/>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40</v>
      </c>
      <c r="B1" s="1"/>
    </row>
    <row r="2" spans="1:2" ht="25.75" customHeight="1">
      <c r="A2" s="1" t="s">
        <v>41</v>
      </c>
    </row>
    <row r="3" spans="1:2" ht="25.75" customHeight="1">
      <c r="A3" s="1" t="s">
        <v>42</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2025-09-22T09:23:54Z</dcterms:modified>
</cp:coreProperties>
</file>